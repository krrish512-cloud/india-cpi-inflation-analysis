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krris\OneDrive\Desktop\"/>
    </mc:Choice>
  </mc:AlternateContent>
  <xr:revisionPtr revIDLastSave="0" documentId="13_ncr:1_{61129670-6648-4E80-A2EB-F8C4DC47EECC}" xr6:coauthVersionLast="47" xr6:coauthVersionMax="47" xr10:uidLastSave="{00000000-0000-0000-0000-000000000000}"/>
  <bookViews>
    <workbookView xWindow="-108" yWindow="-108" windowWidth="23256" windowHeight="12456" firstSheet="5" activeTab="8" xr2:uid="{F1D2910F-257B-4C2E-87DF-CDAE75368F60}"/>
  </bookViews>
  <sheets>
    <sheet name="All_India_Index_Upto_April23 (1" sheetId="2" r:id="rId1"/>
    <sheet name="Working_Data" sheetId="4" r:id="rId2"/>
    <sheet name="Problem_Statement" sheetId="5" r:id="rId3"/>
    <sheet name="1.CPI Contribution Analysis" sheetId="6" r:id="rId4"/>
    <sheet name="2.CPI YOY Analysis" sheetId="7" r:id="rId5"/>
    <sheet name="3.Food Inflation Analysis" sheetId="8" r:id="rId6"/>
    <sheet name="4.COVID Inflation Analysis" sheetId="10" r:id="rId7"/>
    <sheet name="5.Oil Price Data" sheetId="12" r:id="rId8"/>
    <sheet name="Crude Oil Price" sheetId="11" r:id="rId9"/>
    <sheet name="Notes" sheetId="1" r:id="rId10"/>
  </sheets>
  <definedNames>
    <definedName name="ExternalData_1" localSheetId="0" hidden="1">'All_India_Index_Upto_April23 (1'!$A$1:$AD$373</definedName>
    <definedName name="ExternalData_1" localSheetId="1" hidden="1">Working_Data!$A$1:$AD$376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 i="7" l="1"/>
  <c r="J18" i="7"/>
  <c r="J17" i="7"/>
  <c r="J16" i="7"/>
  <c r="J15" i="7"/>
  <c r="J14" i="7"/>
  <c r="J12" i="7"/>
  <c r="E11" i="1"/>
  <c r="I7" i="10" a="1"/>
  <c r="I7" i="10" s="1"/>
  <c r="C36" i="12"/>
  <c r="B36" i="12"/>
  <c r="A3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6" i="12"/>
  <c r="E7" i="12" a="1"/>
  <c r="E7" i="12" s="1"/>
  <c r="F7" i="12" a="1"/>
  <c r="F7" i="12" s="1"/>
  <c r="G7" i="12" a="1"/>
  <c r="G7" i="12" s="1"/>
  <c r="H7" i="12" a="1"/>
  <c r="H7" i="12" s="1"/>
  <c r="I7" i="12" a="1"/>
  <c r="I7" i="12" s="1"/>
  <c r="J7" i="12" a="1"/>
  <c r="J7" i="12" s="1"/>
  <c r="K7" i="12" a="1"/>
  <c r="K7" i="12" s="1"/>
  <c r="L7" i="12" a="1"/>
  <c r="L7" i="12" s="1"/>
  <c r="M7" i="12" a="1"/>
  <c r="M7" i="12" s="1"/>
  <c r="N7" i="12" a="1"/>
  <c r="N7" i="12"/>
  <c r="O7" i="12" a="1"/>
  <c r="O7" i="12" s="1"/>
  <c r="P7" i="12" a="1"/>
  <c r="P7" i="12"/>
  <c r="Q7" i="12" a="1"/>
  <c r="Q7" i="12" s="1"/>
  <c r="R7" i="12" a="1"/>
  <c r="R7" i="12"/>
  <c r="S7" i="12" a="1"/>
  <c r="S7" i="12" s="1"/>
  <c r="T7" i="12" a="1"/>
  <c r="T7" i="12"/>
  <c r="U7" i="12" a="1"/>
  <c r="U7" i="12" s="1"/>
  <c r="V7" i="12" a="1"/>
  <c r="V7" i="12" s="1"/>
  <c r="W7" i="12" a="1"/>
  <c r="W7" i="12" s="1"/>
  <c r="X7" i="12" a="1"/>
  <c r="X7" i="12" s="1"/>
  <c r="Y7" i="12" a="1"/>
  <c r="Y7" i="12" s="1"/>
  <c r="Z7" i="12" a="1"/>
  <c r="Z7" i="12" s="1"/>
  <c r="AA7" i="12" a="1"/>
  <c r="AA7" i="12" s="1"/>
  <c r="AB7" i="12" a="1"/>
  <c r="AB7" i="12" s="1"/>
  <c r="AC7" i="12" a="1"/>
  <c r="AC7" i="12" s="1"/>
  <c r="AD7" i="12" a="1"/>
  <c r="AD7" i="12"/>
  <c r="AE7" i="12" a="1"/>
  <c r="AE7" i="12" s="1"/>
  <c r="AF7" i="12" a="1"/>
  <c r="AF7" i="12"/>
  <c r="AG7" i="12" a="1"/>
  <c r="AG7" i="12" s="1"/>
  <c r="AH7" i="12" a="1"/>
  <c r="AH7" i="12"/>
  <c r="E8" i="12" a="1"/>
  <c r="E8" i="12" s="1"/>
  <c r="F8" i="12" a="1"/>
  <c r="F8" i="12" s="1"/>
  <c r="G8" i="12" a="1"/>
  <c r="G8" i="12" s="1"/>
  <c r="H8" i="12" a="1"/>
  <c r="H8" i="12" s="1"/>
  <c r="I8" i="12" a="1"/>
  <c r="I8" i="12"/>
  <c r="J8" i="12" a="1"/>
  <c r="J8" i="12" s="1"/>
  <c r="K8" i="12" a="1"/>
  <c r="K8" i="12"/>
  <c r="L8" i="12" a="1"/>
  <c r="L8" i="12" s="1"/>
  <c r="M8" i="12" a="1"/>
  <c r="M8" i="12"/>
  <c r="N8" i="12" a="1"/>
  <c r="N8" i="12" s="1"/>
  <c r="O8" i="12" a="1"/>
  <c r="O8" i="12"/>
  <c r="P8" i="12" a="1"/>
  <c r="P8" i="12" s="1"/>
  <c r="Q8" i="12" a="1"/>
  <c r="Q8" i="12" s="1"/>
  <c r="R8" i="12" a="1"/>
  <c r="R8" i="12" s="1"/>
  <c r="S8" i="12" a="1"/>
  <c r="S8" i="12" s="1"/>
  <c r="T8" i="12" a="1"/>
  <c r="T8" i="12" s="1"/>
  <c r="U8" i="12" a="1"/>
  <c r="U8" i="12" s="1"/>
  <c r="V8" i="12" a="1"/>
  <c r="V8" i="12" s="1"/>
  <c r="W8" i="12" a="1"/>
  <c r="W8" i="12" s="1"/>
  <c r="X8" i="12" a="1"/>
  <c r="X8" i="12" s="1"/>
  <c r="Y8" i="12" a="1"/>
  <c r="Y8" i="12" s="1"/>
  <c r="Z8" i="12" a="1"/>
  <c r="Z8" i="12" s="1"/>
  <c r="AA8" i="12" a="1"/>
  <c r="AA8" i="12"/>
  <c r="AB8" i="12" a="1"/>
  <c r="AB8" i="12" s="1"/>
  <c r="AC8" i="12" a="1"/>
  <c r="AC8" i="12"/>
  <c r="AD8" i="12" a="1"/>
  <c r="AD8" i="12" s="1"/>
  <c r="AE8" i="12" a="1"/>
  <c r="AE8" i="12"/>
  <c r="AF8" i="12" a="1"/>
  <c r="AF8" i="12" s="1"/>
  <c r="AG8" i="12" a="1"/>
  <c r="AG8" i="12" s="1"/>
  <c r="AH8" i="12" a="1"/>
  <c r="AH8" i="12" s="1"/>
  <c r="E9" i="12" a="1"/>
  <c r="E9" i="12" s="1"/>
  <c r="F9" i="12" a="1"/>
  <c r="F9" i="12"/>
  <c r="G9" i="12" a="1"/>
  <c r="G9" i="12" s="1"/>
  <c r="H9" i="12" a="1"/>
  <c r="H9" i="12"/>
  <c r="I9" i="12" a="1"/>
  <c r="I9" i="12" s="1"/>
  <c r="J9" i="12" a="1"/>
  <c r="J9" i="12"/>
  <c r="K9" i="12" a="1"/>
  <c r="K9" i="12" s="1"/>
  <c r="L9" i="12" a="1"/>
  <c r="L9" i="12" s="1"/>
  <c r="M9" i="12" a="1"/>
  <c r="M9" i="12" s="1"/>
  <c r="N9" i="12" a="1"/>
  <c r="N9" i="12" s="1"/>
  <c r="O9" i="12" a="1"/>
  <c r="O9" i="12" s="1"/>
  <c r="P9" i="12" a="1"/>
  <c r="P9" i="12" s="1"/>
  <c r="Q9" i="12" a="1"/>
  <c r="Q9" i="12" s="1"/>
  <c r="R9" i="12" a="1"/>
  <c r="R9" i="12" s="1"/>
  <c r="S9" i="12" a="1"/>
  <c r="S9" i="12" s="1"/>
  <c r="T9" i="12" a="1"/>
  <c r="T9" i="12" s="1"/>
  <c r="U9" i="12" a="1"/>
  <c r="U9" i="12" s="1"/>
  <c r="V9" i="12" a="1"/>
  <c r="V9" i="12"/>
  <c r="W9" i="12" a="1"/>
  <c r="W9" i="12" s="1"/>
  <c r="X9" i="12" a="1"/>
  <c r="X9" i="12"/>
  <c r="Y9" i="12" a="1"/>
  <c r="Y9" i="12" s="1"/>
  <c r="Z9" i="12" a="1"/>
  <c r="Z9" i="12"/>
  <c r="AA9" i="12" a="1"/>
  <c r="AA9" i="12" s="1"/>
  <c r="AB9" i="12" a="1"/>
  <c r="AB9" i="12" s="1"/>
  <c r="AC9" i="12" a="1"/>
  <c r="AC9" i="12" s="1"/>
  <c r="AD9" i="12" a="1"/>
  <c r="AD9" i="12" s="1"/>
  <c r="AE9" i="12" a="1"/>
  <c r="AE9" i="12" s="1"/>
  <c r="AF9" i="12" a="1"/>
  <c r="AF9" i="12" s="1"/>
  <c r="AG9" i="12" a="1"/>
  <c r="AG9" i="12" s="1"/>
  <c r="AH9" i="12" a="1"/>
  <c r="AH9" i="12" s="1"/>
  <c r="E10" i="12" a="1"/>
  <c r="E10" i="12"/>
  <c r="F10" i="12" a="1"/>
  <c r="F10" i="12" s="1"/>
  <c r="G10" i="12" a="1"/>
  <c r="G10" i="12" s="1"/>
  <c r="H10" i="12" a="1"/>
  <c r="H10" i="12" s="1"/>
  <c r="I10" i="12" a="1"/>
  <c r="I10" i="12" s="1"/>
  <c r="J10" i="12" a="1"/>
  <c r="J10" i="12" s="1"/>
  <c r="K10" i="12" a="1"/>
  <c r="K10" i="12" s="1"/>
  <c r="L10" i="12" a="1"/>
  <c r="L10" i="12" s="1"/>
  <c r="M10" i="12" a="1"/>
  <c r="M10" i="12" s="1"/>
  <c r="N10" i="12" a="1"/>
  <c r="N10" i="12" s="1"/>
  <c r="O10" i="12" a="1"/>
  <c r="O10" i="12"/>
  <c r="P10" i="12" a="1"/>
  <c r="P10" i="12" s="1"/>
  <c r="Q10" i="12" a="1"/>
  <c r="Q10" i="12"/>
  <c r="R10" i="12" a="1"/>
  <c r="R10" i="12" s="1"/>
  <c r="S10" i="12" a="1"/>
  <c r="S10" i="12"/>
  <c r="T10" i="12" a="1"/>
  <c r="T10" i="12" s="1"/>
  <c r="U10" i="12" a="1"/>
  <c r="U10" i="12"/>
  <c r="V10" i="12" a="1"/>
  <c r="V10" i="12" s="1"/>
  <c r="W10" i="12" a="1"/>
  <c r="W10" i="12" s="1"/>
  <c r="X10" i="12" a="1"/>
  <c r="X10" i="12" s="1"/>
  <c r="Y10" i="12" a="1"/>
  <c r="Y10" i="12" s="1"/>
  <c r="Z10" i="12" a="1"/>
  <c r="Z10" i="12" s="1"/>
  <c r="AA10" i="12" a="1"/>
  <c r="AA10" i="12" s="1"/>
  <c r="AB10" i="12" a="1"/>
  <c r="AB10" i="12" s="1"/>
  <c r="AC10" i="12" a="1"/>
  <c r="AC10" i="12" s="1"/>
  <c r="AD10" i="12" a="1"/>
  <c r="AD10" i="12" s="1"/>
  <c r="AE10" i="12" a="1"/>
  <c r="AE10" i="12" s="1"/>
  <c r="AF10" i="12" a="1"/>
  <c r="AF10" i="12" s="1"/>
  <c r="AG10" i="12" a="1"/>
  <c r="AG10" i="12" s="1"/>
  <c r="AH10" i="12" a="1"/>
  <c r="AH10" i="12" s="1"/>
  <c r="E11" i="12" a="1"/>
  <c r="E11" i="12" s="1"/>
  <c r="F11" i="12" a="1"/>
  <c r="F11" i="12" s="1"/>
  <c r="G11" i="12" a="1"/>
  <c r="G11" i="12" s="1"/>
  <c r="H11" i="12" a="1"/>
  <c r="H11" i="12"/>
  <c r="I11" i="12" a="1"/>
  <c r="I11" i="12" s="1"/>
  <c r="J11" i="12" a="1"/>
  <c r="J11" i="12" s="1"/>
  <c r="K11" i="12" a="1"/>
  <c r="K11" i="12"/>
  <c r="L11" i="12" a="1"/>
  <c r="L11" i="12" s="1"/>
  <c r="M11" i="12" a="1"/>
  <c r="M11" i="12" s="1"/>
  <c r="N11" i="12" a="1"/>
  <c r="N11" i="12"/>
  <c r="O11" i="12" a="1"/>
  <c r="O11" i="12" s="1"/>
  <c r="P11" i="12" a="1"/>
  <c r="P11" i="12" s="1"/>
  <c r="Q11" i="12" a="1"/>
  <c r="Q11" i="12" s="1"/>
  <c r="R11" i="12" a="1"/>
  <c r="R11" i="12" s="1"/>
  <c r="S11" i="12" a="1"/>
  <c r="S11" i="12" s="1"/>
  <c r="T11" i="12" a="1"/>
  <c r="T11" i="12"/>
  <c r="U11" i="12" a="1"/>
  <c r="U11" i="12" s="1"/>
  <c r="V11" i="12" a="1"/>
  <c r="V11" i="12"/>
  <c r="W11" i="12" a="1"/>
  <c r="W11" i="12"/>
  <c r="X11" i="12" a="1"/>
  <c r="X11" i="12" s="1"/>
  <c r="Y11" i="12" a="1"/>
  <c r="Y11" i="12" s="1"/>
  <c r="Z11" i="12" a="1"/>
  <c r="Z11" i="12" s="1"/>
  <c r="AA11" i="12" a="1"/>
  <c r="AA11" i="12" s="1"/>
  <c r="AB11" i="12" a="1"/>
  <c r="AB11" i="12" s="1"/>
  <c r="AC11" i="12" a="1"/>
  <c r="AC11" i="12" s="1"/>
  <c r="AD11" i="12" a="1"/>
  <c r="AD11" i="12" s="1"/>
  <c r="AE11" i="12" a="1"/>
  <c r="AE11" i="12"/>
  <c r="AF11" i="12" a="1"/>
  <c r="AF11" i="12"/>
  <c r="AG11" i="12" a="1"/>
  <c r="AG11" i="12" s="1"/>
  <c r="AH11" i="12" a="1"/>
  <c r="AH11" i="12"/>
  <c r="E12" i="12" a="1"/>
  <c r="E12" i="12" s="1"/>
  <c r="F12" i="12" a="1"/>
  <c r="F12" i="12"/>
  <c r="G12" i="12" a="1"/>
  <c r="G12" i="12" s="1"/>
  <c r="H12" i="12" a="1"/>
  <c r="H12" i="12" s="1"/>
  <c r="I12" i="12" a="1"/>
  <c r="I12" i="12"/>
  <c r="J12" i="12" a="1"/>
  <c r="J12" i="12" s="1"/>
  <c r="K12" i="12" a="1"/>
  <c r="K12" i="12" s="1"/>
  <c r="L12" i="12" a="1"/>
  <c r="L12" i="12" s="1"/>
  <c r="M12" i="12" a="1"/>
  <c r="M12" i="12" s="1"/>
  <c r="N12" i="12" a="1"/>
  <c r="N12" i="12" s="1"/>
  <c r="O12" i="12" a="1"/>
  <c r="O12" i="12"/>
  <c r="P12" i="12" a="1"/>
  <c r="P12" i="12" s="1"/>
  <c r="Q12" i="12" a="1"/>
  <c r="Q12" i="12"/>
  <c r="R12" i="12" a="1"/>
  <c r="R12" i="12"/>
  <c r="S12" i="12" a="1"/>
  <c r="S12" i="12" s="1"/>
  <c r="T12" i="12" a="1"/>
  <c r="T12" i="12" s="1"/>
  <c r="U12" i="12" a="1"/>
  <c r="U12" i="12" s="1"/>
  <c r="V12" i="12" a="1"/>
  <c r="V12" i="12" s="1"/>
  <c r="W12" i="12" a="1"/>
  <c r="W12" i="12" s="1"/>
  <c r="X12" i="12" a="1"/>
  <c r="X12" i="12" s="1"/>
  <c r="Y12" i="12" a="1"/>
  <c r="Y12" i="12" s="1"/>
  <c r="Z12" i="12" a="1"/>
  <c r="Z12" i="12"/>
  <c r="AA12" i="12" a="1"/>
  <c r="AA12" i="12"/>
  <c r="AB12" i="12" a="1"/>
  <c r="AB12" i="12" s="1"/>
  <c r="AC12" i="12" a="1"/>
  <c r="AC12" i="12"/>
  <c r="AD12" i="12" a="1"/>
  <c r="AD12" i="12" s="1"/>
  <c r="AE12" i="12" a="1"/>
  <c r="AE12" i="12" s="1"/>
  <c r="AF12" i="12" a="1"/>
  <c r="AF12" i="12" s="1"/>
  <c r="AG12" i="12" a="1"/>
  <c r="AG12" i="12" s="1"/>
  <c r="AH12" i="12" a="1"/>
  <c r="AH12" i="12" s="1"/>
  <c r="E13" i="12" a="1"/>
  <c r="E13" i="12" s="1"/>
  <c r="F13" i="12" a="1"/>
  <c r="F13" i="12" s="1"/>
  <c r="G13" i="12" a="1"/>
  <c r="G13" i="12" s="1"/>
  <c r="H13" i="12" a="1"/>
  <c r="H13" i="12" s="1"/>
  <c r="I13" i="12" a="1"/>
  <c r="I13" i="12" s="1"/>
  <c r="J13" i="12" a="1"/>
  <c r="J13" i="12"/>
  <c r="K13" i="12" a="1"/>
  <c r="K13" i="12" s="1"/>
  <c r="L13" i="12" a="1"/>
  <c r="L13" i="12"/>
  <c r="M13" i="12" a="1"/>
  <c r="M13" i="12"/>
  <c r="N13" i="12" a="1"/>
  <c r="N13" i="12" s="1"/>
  <c r="O13" i="12" a="1"/>
  <c r="O13" i="12" s="1"/>
  <c r="P13" i="12" a="1"/>
  <c r="P13" i="12" s="1"/>
  <c r="Q13" i="12" a="1"/>
  <c r="Q13" i="12" s="1"/>
  <c r="R13" i="12" a="1"/>
  <c r="R13" i="12" s="1"/>
  <c r="S13" i="12" a="1"/>
  <c r="S13" i="12" s="1"/>
  <c r="T13" i="12" a="1"/>
  <c r="T13" i="12" s="1"/>
  <c r="U13" i="12" a="1"/>
  <c r="U13" i="12"/>
  <c r="V13" i="12" a="1"/>
  <c r="V13" i="12"/>
  <c r="W13" i="12" a="1"/>
  <c r="W13" i="12" s="1"/>
  <c r="X13" i="12" a="1"/>
  <c r="X13" i="12"/>
  <c r="Y13" i="12" a="1"/>
  <c r="Y13" i="12" s="1"/>
  <c r="Z13" i="12" a="1"/>
  <c r="Z13" i="12" s="1"/>
  <c r="AA13" i="12" a="1"/>
  <c r="AA13" i="12" s="1"/>
  <c r="AB13" i="12" a="1"/>
  <c r="AB13" i="12" s="1"/>
  <c r="AC13" i="12" a="1"/>
  <c r="AC13" i="12" s="1"/>
  <c r="AD13" i="12" a="1"/>
  <c r="AD13" i="12"/>
  <c r="AE13" i="12" a="1"/>
  <c r="AE13" i="12" s="1"/>
  <c r="AF13" i="12" a="1"/>
  <c r="AF13" i="12" s="1"/>
  <c r="AG13" i="12" a="1"/>
  <c r="AG13" i="12"/>
  <c r="AH13" i="12" a="1"/>
  <c r="AH13" i="12" s="1"/>
  <c r="E14" i="12" a="1"/>
  <c r="E14" i="12"/>
  <c r="F14" i="12" a="1"/>
  <c r="F14" i="12" s="1"/>
  <c r="G14" i="12" a="1"/>
  <c r="G14" i="12"/>
  <c r="H14" i="12" a="1"/>
  <c r="H14" i="12"/>
  <c r="I14" i="12" a="1"/>
  <c r="I14" i="12" s="1"/>
  <c r="J14" i="12" a="1"/>
  <c r="J14" i="12" s="1"/>
  <c r="K14" i="12" a="1"/>
  <c r="K14" i="12" s="1"/>
  <c r="L14" i="12" a="1"/>
  <c r="L14" i="12" s="1"/>
  <c r="M14" i="12" a="1"/>
  <c r="M14" i="12" s="1"/>
  <c r="N14" i="12" a="1"/>
  <c r="N14" i="12" s="1"/>
  <c r="O14" i="12" a="1"/>
  <c r="O14" i="12"/>
  <c r="P14" i="12" a="1"/>
  <c r="P14" i="12"/>
  <c r="Q14" i="12" a="1"/>
  <c r="Q14" i="12"/>
  <c r="R14" i="12" a="1"/>
  <c r="R14" i="12" s="1"/>
  <c r="S14" i="12" a="1"/>
  <c r="S14" i="12"/>
  <c r="T14" i="12" a="1"/>
  <c r="T14" i="12" s="1"/>
  <c r="U14" i="12" a="1"/>
  <c r="U14" i="12" s="1"/>
  <c r="V14" i="12" a="1"/>
  <c r="V14" i="12" s="1"/>
  <c r="W14" i="12" a="1"/>
  <c r="W14" i="12" s="1"/>
  <c r="X14" i="12" a="1"/>
  <c r="X14" i="12" s="1"/>
  <c r="Y14" i="12" a="1"/>
  <c r="Y14" i="12"/>
  <c r="Z14" i="12" a="1"/>
  <c r="Z14" i="12" s="1"/>
  <c r="AA14" i="12" a="1"/>
  <c r="AA14" i="12" s="1"/>
  <c r="AB14" i="12" a="1"/>
  <c r="AB14" i="12"/>
  <c r="AC14" i="12" a="1"/>
  <c r="AC14" i="12" s="1"/>
  <c r="AD14" i="12" a="1"/>
  <c r="AD14" i="12" s="1"/>
  <c r="AE14" i="12" a="1"/>
  <c r="AE14" i="12" s="1"/>
  <c r="AF14" i="12" a="1"/>
  <c r="AF14" i="12" s="1"/>
  <c r="AG14" i="12" a="1"/>
  <c r="AG14" i="12"/>
  <c r="AH14" i="12" a="1"/>
  <c r="AH14" i="12" s="1"/>
  <c r="E15" i="12" a="1"/>
  <c r="E15" i="12" s="1"/>
  <c r="F15" i="12" a="1"/>
  <c r="F15" i="12" s="1"/>
  <c r="G15" i="12" a="1"/>
  <c r="G15" i="12" s="1"/>
  <c r="H15" i="12" a="1"/>
  <c r="H15" i="12" s="1"/>
  <c r="I15" i="12" a="1"/>
  <c r="I15" i="12" s="1"/>
  <c r="J15" i="12" a="1"/>
  <c r="J15" i="12" s="1"/>
  <c r="K15" i="12" a="1"/>
  <c r="K15" i="12"/>
  <c r="L15" i="12" a="1"/>
  <c r="L15" i="12" s="1"/>
  <c r="M15" i="12" a="1"/>
  <c r="M15" i="12" s="1"/>
  <c r="N15" i="12" a="1"/>
  <c r="N15" i="12"/>
  <c r="O15" i="12" a="1"/>
  <c r="O15" i="12" s="1"/>
  <c r="P15" i="12" a="1"/>
  <c r="P15" i="12"/>
  <c r="Q15" i="12" a="1"/>
  <c r="Q15" i="12" s="1"/>
  <c r="R15" i="12" a="1"/>
  <c r="R15" i="12" s="1"/>
  <c r="S15" i="12" a="1"/>
  <c r="S15" i="12"/>
  <c r="T15" i="12" a="1"/>
  <c r="T15" i="12"/>
  <c r="U15" i="12" a="1"/>
  <c r="U15" i="12" s="1"/>
  <c r="V15" i="12" a="1"/>
  <c r="V15" i="12" s="1"/>
  <c r="W15" i="12" a="1"/>
  <c r="W15" i="12"/>
  <c r="X15" i="12" a="1"/>
  <c r="X15" i="12" s="1"/>
  <c r="Y15" i="12" a="1"/>
  <c r="Y15" i="12" s="1"/>
  <c r="Z15" i="12" a="1"/>
  <c r="Z15" i="12" s="1"/>
  <c r="AA15" i="12" a="1"/>
  <c r="AA15" i="12" s="1"/>
  <c r="AB15" i="12" a="1"/>
  <c r="AB15" i="12" s="1"/>
  <c r="AC15" i="12" a="1"/>
  <c r="AC15" i="12" s="1"/>
  <c r="AD15" i="12" a="1"/>
  <c r="AD15" i="12" s="1"/>
  <c r="AE15" i="12" a="1"/>
  <c r="AE15" i="12" s="1"/>
  <c r="AF15" i="12" a="1"/>
  <c r="AF15" i="12"/>
  <c r="AG15" i="12" a="1"/>
  <c r="AG15" i="12" s="1"/>
  <c r="AH15" i="12" a="1"/>
  <c r="AH15" i="12"/>
  <c r="E16" i="12" a="1"/>
  <c r="E16" i="12"/>
  <c r="F16" i="12" a="1"/>
  <c r="F16" i="12"/>
  <c r="G16" i="12" a="1"/>
  <c r="G16" i="12"/>
  <c r="H16" i="12" a="1"/>
  <c r="H16" i="12" s="1"/>
  <c r="I16" i="12" a="1"/>
  <c r="I16" i="12" s="1"/>
  <c r="J16" i="12" a="1"/>
  <c r="J16" i="12" s="1"/>
  <c r="K16" i="12" a="1"/>
  <c r="K16" i="12" s="1"/>
  <c r="L16" i="12" a="1"/>
  <c r="L16" i="12"/>
  <c r="M16" i="12" a="1"/>
  <c r="M16" i="12" s="1"/>
  <c r="N16" i="12" a="1"/>
  <c r="N16" i="12" s="1"/>
  <c r="O16" i="12" a="1"/>
  <c r="O16" i="12" s="1"/>
  <c r="P16" i="12" a="1"/>
  <c r="P16" i="12" s="1"/>
  <c r="Q16" i="12" a="1"/>
  <c r="Q16" i="12" s="1"/>
  <c r="R16" i="12" a="1"/>
  <c r="R16" i="12" s="1"/>
  <c r="S16" i="12" a="1"/>
  <c r="S16" i="12"/>
  <c r="T16" i="12" a="1"/>
  <c r="T16" i="12" s="1"/>
  <c r="U16" i="12" a="1"/>
  <c r="U16" i="12"/>
  <c r="V16" i="12" a="1"/>
  <c r="V16" i="12" s="1"/>
  <c r="W16" i="12" a="1"/>
  <c r="W16" i="12" s="1"/>
  <c r="X16" i="12" a="1"/>
  <c r="X16" i="12" s="1"/>
  <c r="Y16" i="12" a="1"/>
  <c r="Y16" i="12" s="1"/>
  <c r="Z16" i="12" a="1"/>
  <c r="Z16" i="12" s="1"/>
  <c r="AA16" i="12" a="1"/>
  <c r="AA16" i="12" s="1"/>
  <c r="AB16" i="12" a="1"/>
  <c r="AB16" i="12"/>
  <c r="AC16" i="12" a="1"/>
  <c r="AC16" i="12" s="1"/>
  <c r="AD16" i="12" a="1"/>
  <c r="AD16" i="12" s="1"/>
  <c r="AE16" i="12" a="1"/>
  <c r="AE16" i="12" s="1"/>
  <c r="AF16" i="12" a="1"/>
  <c r="AF16" i="12" s="1"/>
  <c r="AG16" i="12" a="1"/>
  <c r="AG16" i="12" s="1"/>
  <c r="AH16" i="12" a="1"/>
  <c r="AH16" i="12" s="1"/>
  <c r="E17" i="12" a="1"/>
  <c r="E17" i="12" s="1"/>
  <c r="F17" i="12" a="1"/>
  <c r="F17" i="12" s="1"/>
  <c r="G17" i="12" a="1"/>
  <c r="G17" i="12"/>
  <c r="H17" i="12" a="1"/>
  <c r="H17" i="12" s="1"/>
  <c r="I17" i="12" a="1"/>
  <c r="I17" i="12" s="1"/>
  <c r="J17" i="12" a="1"/>
  <c r="J17" i="12" s="1"/>
  <c r="K17" i="12" a="1"/>
  <c r="K17" i="12" s="1"/>
  <c r="L17" i="12" a="1"/>
  <c r="L17" i="12" s="1"/>
  <c r="M17" i="12" a="1"/>
  <c r="M17" i="12" s="1"/>
  <c r="N17" i="12" a="1"/>
  <c r="N17" i="12"/>
  <c r="O17" i="12" a="1"/>
  <c r="O17" i="12" s="1"/>
  <c r="P17" i="12" a="1"/>
  <c r="P17" i="12"/>
  <c r="Q17" i="12" a="1"/>
  <c r="Q17" i="12" s="1"/>
  <c r="R17" i="12" a="1"/>
  <c r="R17" i="12" s="1"/>
  <c r="S17" i="12" a="1"/>
  <c r="S17" i="12" s="1"/>
  <c r="T17" i="12" a="1"/>
  <c r="T17" i="12" s="1"/>
  <c r="U17" i="12" a="1"/>
  <c r="U17" i="12" s="1"/>
  <c r="V17" i="12" a="1"/>
  <c r="V17" i="12" s="1"/>
  <c r="W17" i="12" a="1"/>
  <c r="W17" i="12"/>
  <c r="X17" i="12" a="1"/>
  <c r="X17" i="12" s="1"/>
  <c r="Y17" i="12" a="1"/>
  <c r="Y17" i="12" s="1"/>
  <c r="Z17" i="12" a="1"/>
  <c r="Z17" i="12" s="1"/>
  <c r="AA17" i="12" a="1"/>
  <c r="AA17" i="12" s="1"/>
  <c r="AB17" i="12" a="1"/>
  <c r="AB17" i="12" s="1"/>
  <c r="AC17" i="12" a="1"/>
  <c r="AC17" i="12" s="1"/>
  <c r="AD17" i="12" a="1"/>
  <c r="AD17" i="12"/>
  <c r="AE17" i="12" a="1"/>
  <c r="AE17" i="12" s="1"/>
  <c r="AF17" i="12" a="1"/>
  <c r="AF17" i="12"/>
  <c r="AG17" i="12" a="1"/>
  <c r="AG17" i="12" s="1"/>
  <c r="AH17" i="12" a="1"/>
  <c r="AH17" i="12" s="1"/>
  <c r="E18" i="12" a="1"/>
  <c r="E18" i="12" s="1"/>
  <c r="F18" i="12" a="1"/>
  <c r="F18" i="12" s="1"/>
  <c r="G18" i="12" a="1"/>
  <c r="G18" i="12" s="1"/>
  <c r="H18" i="12" a="1"/>
  <c r="H18" i="12" s="1"/>
  <c r="I18" i="12" a="1"/>
  <c r="I18" i="12"/>
  <c r="J18" i="12" a="1"/>
  <c r="J18" i="12" s="1"/>
  <c r="K18" i="12" a="1"/>
  <c r="K18" i="12"/>
  <c r="L18" i="12" a="1"/>
  <c r="L18" i="12" s="1"/>
  <c r="M18" i="12" a="1"/>
  <c r="M18" i="12" s="1"/>
  <c r="N18" i="12" a="1"/>
  <c r="N18" i="12" s="1"/>
  <c r="O18" i="12" a="1"/>
  <c r="O18" i="12" s="1"/>
  <c r="P18" i="12" a="1"/>
  <c r="P18" i="12" s="1"/>
  <c r="Q18" i="12" a="1"/>
  <c r="Q18" i="12" s="1"/>
  <c r="R18" i="12" a="1"/>
  <c r="R18" i="12"/>
  <c r="S18" i="12" a="1"/>
  <c r="S18" i="12" s="1"/>
  <c r="T18" i="12" a="1"/>
  <c r="T18" i="12" s="1"/>
  <c r="U18" i="12" a="1"/>
  <c r="U18" i="12" s="1"/>
  <c r="V18" i="12" a="1"/>
  <c r="V18" i="12" s="1"/>
  <c r="W18" i="12" a="1"/>
  <c r="W18" i="12" s="1"/>
  <c r="X18" i="12" a="1"/>
  <c r="X18" i="12" s="1"/>
  <c r="Y18" i="12" a="1"/>
  <c r="Y18" i="12"/>
  <c r="Z18" i="12" a="1"/>
  <c r="Z18" i="12" s="1"/>
  <c r="AA18" i="12" a="1"/>
  <c r="AA18" i="12"/>
  <c r="AB18" i="12" a="1"/>
  <c r="AB18" i="12" s="1"/>
  <c r="AC18" i="12" a="1"/>
  <c r="AC18" i="12" s="1"/>
  <c r="AD18" i="12" a="1"/>
  <c r="AD18" i="12" s="1"/>
  <c r="AE18" i="12" a="1"/>
  <c r="AE18" i="12" s="1"/>
  <c r="AF18" i="12" a="1"/>
  <c r="AF18" i="12" s="1"/>
  <c r="AG18" i="12" a="1"/>
  <c r="AG18" i="12" s="1"/>
  <c r="AH18" i="12" a="1"/>
  <c r="AH18" i="12"/>
  <c r="E19" i="12" a="1"/>
  <c r="E19" i="12" s="1"/>
  <c r="F19" i="12" a="1"/>
  <c r="F19" i="12"/>
  <c r="G19" i="12" a="1"/>
  <c r="G19" i="12" s="1"/>
  <c r="H19" i="12" a="1"/>
  <c r="H19" i="12" s="1"/>
  <c r="I19" i="12" a="1"/>
  <c r="I19" i="12" s="1"/>
  <c r="J19" i="12" a="1"/>
  <c r="J19" i="12" s="1"/>
  <c r="K19" i="12" a="1"/>
  <c r="K19" i="12" s="1"/>
  <c r="L19" i="12" a="1"/>
  <c r="L19" i="12" s="1"/>
  <c r="M19" i="12" a="1"/>
  <c r="M19" i="12"/>
  <c r="N19" i="12" a="1"/>
  <c r="N19" i="12" s="1"/>
  <c r="O19" i="12" a="1"/>
  <c r="O19" i="12" s="1"/>
  <c r="P19" i="12" a="1"/>
  <c r="P19" i="12" s="1"/>
  <c r="Q19" i="12" a="1"/>
  <c r="Q19" i="12" s="1"/>
  <c r="R19" i="12" a="1"/>
  <c r="R19" i="12" s="1"/>
  <c r="S19" i="12" a="1"/>
  <c r="S19" i="12" s="1"/>
  <c r="T19" i="12" a="1"/>
  <c r="T19" i="12"/>
  <c r="U19" i="12" a="1"/>
  <c r="U19" i="12" s="1"/>
  <c r="V19" i="12" a="1"/>
  <c r="V19" i="12"/>
  <c r="W19" i="12" a="1"/>
  <c r="W19" i="12" s="1"/>
  <c r="X19" i="12" a="1"/>
  <c r="X19" i="12" s="1"/>
  <c r="Y19" i="12" a="1"/>
  <c r="Y19" i="12" s="1"/>
  <c r="Z19" i="12" a="1"/>
  <c r="Z19" i="12" s="1"/>
  <c r="AA19" i="12" a="1"/>
  <c r="AA19" i="12" s="1"/>
  <c r="AB19" i="12" a="1"/>
  <c r="AB19" i="12" s="1"/>
  <c r="AC19" i="12" a="1"/>
  <c r="AC19" i="12"/>
  <c r="AD19" i="12" a="1"/>
  <c r="AD19" i="12" s="1"/>
  <c r="AE19" i="12" a="1"/>
  <c r="AE19" i="12" s="1"/>
  <c r="AF19" i="12" a="1"/>
  <c r="AF19" i="12" s="1"/>
  <c r="AG19" i="12" a="1"/>
  <c r="AG19" i="12" s="1"/>
  <c r="AH19" i="12" a="1"/>
  <c r="AH19" i="12" s="1"/>
  <c r="E20" i="12" a="1"/>
  <c r="E20" i="12" s="1"/>
  <c r="F20" i="12" a="1"/>
  <c r="F20" i="12" s="1"/>
  <c r="G20" i="12" a="1"/>
  <c r="G20" i="12" s="1"/>
  <c r="H20" i="12" a="1"/>
  <c r="H20" i="12"/>
  <c r="I20" i="12" a="1"/>
  <c r="I20" i="12" s="1"/>
  <c r="J20" i="12" a="1"/>
  <c r="J20" i="12" s="1"/>
  <c r="K20" i="12" a="1"/>
  <c r="K20" i="12" s="1"/>
  <c r="L20" i="12" a="1"/>
  <c r="L20" i="12" s="1"/>
  <c r="M20" i="12" a="1"/>
  <c r="M20" i="12" s="1"/>
  <c r="N20" i="12" a="1"/>
  <c r="N20" i="12" s="1"/>
  <c r="O20" i="12" a="1"/>
  <c r="O20" i="12"/>
  <c r="P20" i="12" a="1"/>
  <c r="P20" i="12" s="1"/>
  <c r="Q20" i="12" a="1"/>
  <c r="Q20" i="12"/>
  <c r="R20" i="12" a="1"/>
  <c r="R20" i="12" s="1"/>
  <c r="S20" i="12" a="1"/>
  <c r="S20" i="12" s="1"/>
  <c r="T20" i="12" a="1"/>
  <c r="T20" i="12" s="1"/>
  <c r="U20" i="12" a="1"/>
  <c r="U20" i="12" s="1"/>
  <c r="V20" i="12" a="1"/>
  <c r="V20" i="12" s="1"/>
  <c r="W20" i="12" a="1"/>
  <c r="W20" i="12" s="1"/>
  <c r="X20" i="12" a="1"/>
  <c r="X20" i="12"/>
  <c r="Y20" i="12" a="1"/>
  <c r="Y20" i="12" s="1"/>
  <c r="Z20" i="12" a="1"/>
  <c r="Z20" i="12" s="1"/>
  <c r="AA20" i="12" a="1"/>
  <c r="AA20" i="12" s="1"/>
  <c r="AB20" i="12" a="1"/>
  <c r="AB20" i="12" s="1"/>
  <c r="AC20" i="12" a="1"/>
  <c r="AC20" i="12" s="1"/>
  <c r="AD20" i="12" a="1"/>
  <c r="AD20" i="12" s="1"/>
  <c r="AE20" i="12" a="1"/>
  <c r="AE20" i="12"/>
  <c r="AF20" i="12" a="1"/>
  <c r="AF20" i="12" s="1"/>
  <c r="AG20" i="12" a="1"/>
  <c r="AG20" i="12"/>
  <c r="AH20" i="12" a="1"/>
  <c r="AH20" i="12" s="1"/>
  <c r="E21" i="12" a="1"/>
  <c r="E21" i="12" s="1"/>
  <c r="F21" i="12" a="1"/>
  <c r="F21" i="12" s="1"/>
  <c r="G21" i="12" a="1"/>
  <c r="G21" i="12" s="1"/>
  <c r="H21" i="12" a="1"/>
  <c r="H21" i="12" s="1"/>
  <c r="I21" i="12" a="1"/>
  <c r="I21" i="12" s="1"/>
  <c r="J21" i="12" a="1"/>
  <c r="J21" i="12"/>
  <c r="K21" i="12" a="1"/>
  <c r="K21" i="12" s="1"/>
  <c r="L21" i="12" a="1"/>
  <c r="L21" i="12"/>
  <c r="M21" i="12" a="1"/>
  <c r="M21" i="12" s="1"/>
  <c r="N21" i="12" a="1"/>
  <c r="N21" i="12" s="1"/>
  <c r="O21" i="12" a="1"/>
  <c r="O21" i="12" s="1"/>
  <c r="P21" i="12" a="1"/>
  <c r="P21" i="12" s="1"/>
  <c r="Q21" i="12" a="1"/>
  <c r="Q21" i="12" s="1"/>
  <c r="R21" i="12" a="1"/>
  <c r="R21" i="12" s="1"/>
  <c r="S21" i="12" a="1"/>
  <c r="S21" i="12"/>
  <c r="T21" i="12" a="1"/>
  <c r="T21" i="12" s="1"/>
  <c r="U21" i="12" a="1"/>
  <c r="U21" i="12" s="1"/>
  <c r="V21" i="12" a="1"/>
  <c r="V21" i="12" s="1"/>
  <c r="W21" i="12" a="1"/>
  <c r="W21" i="12" s="1"/>
  <c r="X21" i="12" a="1"/>
  <c r="X21" i="12" s="1"/>
  <c r="Y21" i="12" a="1"/>
  <c r="Y21" i="12" s="1"/>
  <c r="Z21" i="12" a="1"/>
  <c r="Z21" i="12"/>
  <c r="AA21" i="12" a="1"/>
  <c r="AA21" i="12" s="1"/>
  <c r="AB21" i="12" a="1"/>
  <c r="AB21" i="12"/>
  <c r="AC21" i="12" a="1"/>
  <c r="AC21" i="12" s="1"/>
  <c r="AD21" i="12" a="1"/>
  <c r="AD21" i="12" s="1"/>
  <c r="AE21" i="12" a="1"/>
  <c r="AE21" i="12" s="1"/>
  <c r="AF21" i="12" a="1"/>
  <c r="AF21" i="12" s="1"/>
  <c r="AG21" i="12" a="1"/>
  <c r="AG21" i="12" s="1"/>
  <c r="AH21" i="12" a="1"/>
  <c r="AH21" i="12" s="1"/>
  <c r="E22" i="12" a="1"/>
  <c r="E22" i="12"/>
  <c r="F22" i="12" a="1"/>
  <c r="F22" i="12"/>
  <c r="G22" i="12" a="1"/>
  <c r="G22" i="12"/>
  <c r="H22" i="12" a="1"/>
  <c r="H22" i="12" s="1"/>
  <c r="I22" i="12" a="1"/>
  <c r="I22" i="12" s="1"/>
  <c r="J22" i="12" a="1"/>
  <c r="J22" i="12" s="1"/>
  <c r="K22" i="12" a="1"/>
  <c r="K22" i="12" s="1"/>
  <c r="L22" i="12" a="1"/>
  <c r="L22" i="12" s="1"/>
  <c r="M22" i="12" a="1"/>
  <c r="M22" i="12"/>
  <c r="N22" i="12" a="1"/>
  <c r="N22" i="12"/>
  <c r="O22" i="12" a="1"/>
  <c r="O22" i="12" s="1"/>
  <c r="P22" i="12" a="1"/>
  <c r="P22" i="12" s="1"/>
  <c r="Q22" i="12" a="1"/>
  <c r="Q22" i="12" s="1"/>
  <c r="R22" i="12" a="1"/>
  <c r="R22" i="12" s="1"/>
  <c r="S22" i="12" a="1"/>
  <c r="S22" i="12"/>
  <c r="T22" i="12" a="1"/>
  <c r="T22" i="12" s="1"/>
  <c r="U22" i="12" a="1"/>
  <c r="U22" i="12"/>
  <c r="V22" i="12" a="1"/>
  <c r="V22" i="12" s="1"/>
  <c r="W22" i="12" a="1"/>
  <c r="W22" i="12"/>
  <c r="X22" i="12" a="1"/>
  <c r="X22" i="12" s="1"/>
  <c r="Y22" i="12" a="1"/>
  <c r="Y22" i="12" s="1"/>
  <c r="Z22" i="12" a="1"/>
  <c r="Z22" i="12" s="1"/>
  <c r="AA22" i="12" a="1"/>
  <c r="AA22" i="12" s="1"/>
  <c r="AB22" i="12" a="1"/>
  <c r="AB22" i="12" s="1"/>
  <c r="AC22" i="12" a="1"/>
  <c r="AC22" i="12" s="1"/>
  <c r="AD22" i="12" a="1"/>
  <c r="AD22" i="12"/>
  <c r="AE22" i="12" a="1"/>
  <c r="AE22" i="12" s="1"/>
  <c r="AF22" i="12" a="1"/>
  <c r="AF22" i="12" s="1"/>
  <c r="AG22" i="12" a="1"/>
  <c r="AG22" i="12"/>
  <c r="AH22" i="12" a="1"/>
  <c r="AH22" i="12" s="1"/>
  <c r="E23" i="12" a="1"/>
  <c r="E23" i="12" s="1"/>
  <c r="F23" i="12" a="1"/>
  <c r="F23" i="12" s="1"/>
  <c r="G23" i="12" a="1"/>
  <c r="G23" i="12" s="1"/>
  <c r="H23" i="12" a="1"/>
  <c r="H23" i="12"/>
  <c r="I23" i="12" a="1"/>
  <c r="I23" i="12" s="1"/>
  <c r="J23" i="12" a="1"/>
  <c r="J23" i="12" s="1"/>
  <c r="K23" i="12" a="1"/>
  <c r="K23" i="12" s="1"/>
  <c r="L23" i="12" a="1"/>
  <c r="L23" i="12"/>
  <c r="M23" i="12" a="1"/>
  <c r="M23" i="12" s="1"/>
  <c r="N23" i="12" a="1"/>
  <c r="N23" i="12"/>
  <c r="O23" i="12" a="1"/>
  <c r="O23" i="12" s="1"/>
  <c r="P23" i="12" a="1"/>
  <c r="P23" i="12"/>
  <c r="Q23" i="12" a="1"/>
  <c r="Q23" i="12" s="1"/>
  <c r="R23" i="12" a="1"/>
  <c r="R23" i="12" s="1"/>
  <c r="S23" i="12" a="1"/>
  <c r="S23" i="12" s="1"/>
  <c r="T23" i="12" a="1"/>
  <c r="T23" i="12" s="1"/>
  <c r="U23" i="12" a="1"/>
  <c r="U23" i="12" s="1"/>
  <c r="V23" i="12" a="1"/>
  <c r="V23" i="12" s="1"/>
  <c r="W23" i="12" a="1"/>
  <c r="W23" i="12" s="1"/>
  <c r="X23" i="12" a="1"/>
  <c r="X23" i="12"/>
  <c r="Y23" i="12" a="1"/>
  <c r="Y23" i="12" s="1"/>
  <c r="Z23" i="12" a="1"/>
  <c r="Z23" i="12" s="1"/>
  <c r="AA23" i="12" a="1"/>
  <c r="AA23" i="12" s="1"/>
  <c r="AB23" i="12" a="1"/>
  <c r="AB23" i="12"/>
  <c r="AC23" i="12" a="1"/>
  <c r="AC23" i="12" s="1"/>
  <c r="AD23" i="12" a="1"/>
  <c r="AD23" i="12"/>
  <c r="AE23" i="12" a="1"/>
  <c r="AE23" i="12" s="1"/>
  <c r="AF23" i="12" a="1"/>
  <c r="AF23" i="12"/>
  <c r="AG23" i="12" a="1"/>
  <c r="AG23" i="12" s="1"/>
  <c r="AH23" i="12" a="1"/>
  <c r="AH23" i="12" s="1"/>
  <c r="E24" i="12" a="1"/>
  <c r="E24" i="12" s="1"/>
  <c r="F24" i="12" a="1"/>
  <c r="F24" i="12" s="1"/>
  <c r="G24" i="12" a="1"/>
  <c r="G24" i="12"/>
  <c r="H24" i="12" a="1"/>
  <c r="H24" i="12" s="1"/>
  <c r="I24" i="12" a="1"/>
  <c r="I24" i="12"/>
  <c r="J24" i="12" a="1"/>
  <c r="J24" i="12" s="1"/>
  <c r="K24" i="12" a="1"/>
  <c r="K24" i="12"/>
  <c r="L24" i="12" a="1"/>
  <c r="L24" i="12" s="1"/>
  <c r="M24" i="12" a="1"/>
  <c r="M24" i="12" s="1"/>
  <c r="N24" i="12" a="1"/>
  <c r="N24" i="12" s="1"/>
  <c r="O24" i="12" a="1"/>
  <c r="O24" i="12" s="1"/>
  <c r="P24" i="12" a="1"/>
  <c r="P24" i="12" s="1"/>
  <c r="Q24" i="12" a="1"/>
  <c r="Q24" i="12" s="1"/>
  <c r="R24" i="12" a="1"/>
  <c r="R24" i="12" s="1"/>
  <c r="S24" i="12" a="1"/>
  <c r="S24" i="12"/>
  <c r="T24" i="12" a="1"/>
  <c r="T24" i="12" s="1"/>
  <c r="U24" i="12" a="1"/>
  <c r="U24" i="12" s="1"/>
  <c r="V24" i="12" a="1"/>
  <c r="V24" i="12" s="1"/>
  <c r="W24" i="12" a="1"/>
  <c r="W24" i="12"/>
  <c r="X24" i="12" a="1"/>
  <c r="X24" i="12" s="1"/>
  <c r="Y24" i="12" a="1"/>
  <c r="Y24" i="12"/>
  <c r="Z24" i="12" a="1"/>
  <c r="Z24" i="12" s="1"/>
  <c r="AA24" i="12" a="1"/>
  <c r="AA24" i="12"/>
  <c r="AB24" i="12" a="1"/>
  <c r="AB24" i="12" s="1"/>
  <c r="AC24" i="12" a="1"/>
  <c r="AC24" i="12" s="1"/>
  <c r="AD24" i="12" a="1"/>
  <c r="AD24" i="12" s="1"/>
  <c r="AE24" i="12" a="1"/>
  <c r="AE24" i="12" s="1"/>
  <c r="AF24" i="12" a="1"/>
  <c r="AF24" i="12" s="1"/>
  <c r="AG24" i="12" a="1"/>
  <c r="AG24" i="12" s="1"/>
  <c r="AH24" i="12" a="1"/>
  <c r="AH24" i="12" s="1"/>
  <c r="E25" i="12" a="1"/>
  <c r="E25" i="12" s="1"/>
  <c r="F25" i="12" a="1"/>
  <c r="F25" i="12"/>
  <c r="G25" i="12" a="1"/>
  <c r="G25" i="12" s="1"/>
  <c r="H25" i="12" a="1"/>
  <c r="H25" i="12" s="1"/>
  <c r="I25" i="12" a="1"/>
  <c r="I25" i="12" s="1"/>
  <c r="J25" i="12" a="1"/>
  <c r="J25" i="12" s="1"/>
  <c r="K25" i="12" a="1"/>
  <c r="K25" i="12" s="1"/>
  <c r="L25" i="12" a="1"/>
  <c r="L25" i="12" s="1"/>
  <c r="M25" i="12" a="1"/>
  <c r="M25" i="12" s="1"/>
  <c r="N25" i="12" a="1"/>
  <c r="N25" i="12"/>
  <c r="O25" i="12" a="1"/>
  <c r="O25" i="12" s="1"/>
  <c r="P25" i="12" a="1"/>
  <c r="P25" i="12" s="1"/>
  <c r="Q25" i="12" a="1"/>
  <c r="Q25" i="12" s="1"/>
  <c r="R25" i="12" a="1"/>
  <c r="R25" i="12"/>
  <c r="S25" i="12" a="1"/>
  <c r="S25" i="12" s="1"/>
  <c r="T25" i="12" a="1"/>
  <c r="T25" i="12"/>
  <c r="U25" i="12" a="1"/>
  <c r="U25" i="12" s="1"/>
  <c r="V25" i="12" a="1"/>
  <c r="V25" i="12"/>
  <c r="W25" i="12" a="1"/>
  <c r="W25" i="12" s="1"/>
  <c r="X25" i="12" a="1"/>
  <c r="X25" i="12" s="1"/>
  <c r="Y25" i="12" a="1"/>
  <c r="Y25" i="12" s="1"/>
  <c r="Z25" i="12" a="1"/>
  <c r="Z25" i="12" s="1"/>
  <c r="AA25" i="12" a="1"/>
  <c r="AA25" i="12" s="1"/>
  <c r="AB25" i="12" a="1"/>
  <c r="AB25" i="12" s="1"/>
  <c r="AC25" i="12" a="1"/>
  <c r="AC25" i="12" s="1"/>
  <c r="AD25" i="12" a="1"/>
  <c r="AD25" i="12"/>
  <c r="AE25" i="12" a="1"/>
  <c r="AE25" i="12" s="1"/>
  <c r="AF25" i="12" a="1"/>
  <c r="AF25" i="12" s="1"/>
  <c r="AG25" i="12" a="1"/>
  <c r="AG25" i="12" s="1"/>
  <c r="AH25" i="12" a="1"/>
  <c r="AH25" i="12"/>
  <c r="E26" i="12" a="1"/>
  <c r="E26" i="12" s="1"/>
  <c r="F26" i="12" a="1"/>
  <c r="F26" i="12" s="1"/>
  <c r="G26" i="12" a="1"/>
  <c r="G26" i="12" s="1"/>
  <c r="H26" i="12" a="1"/>
  <c r="H26" i="12" s="1"/>
  <c r="I26" i="12" a="1"/>
  <c r="I26" i="12"/>
  <c r="J26" i="12" a="1"/>
  <c r="J26" i="12" s="1"/>
  <c r="K26" i="12" a="1"/>
  <c r="K26" i="12" s="1"/>
  <c r="L26" i="12" a="1"/>
  <c r="L26" i="12" s="1"/>
  <c r="M26" i="12" a="1"/>
  <c r="M26" i="12"/>
  <c r="N26" i="12" a="1"/>
  <c r="N26" i="12" s="1"/>
  <c r="O26" i="12" a="1"/>
  <c r="O26" i="12"/>
  <c r="P26" i="12" a="1"/>
  <c r="P26" i="12" s="1"/>
  <c r="Q26" i="12" a="1"/>
  <c r="Q26" i="12"/>
  <c r="R26" i="12" a="1"/>
  <c r="R26" i="12" s="1"/>
  <c r="S26" i="12" a="1"/>
  <c r="S26" i="12" s="1"/>
  <c r="T26" i="12" a="1"/>
  <c r="T26" i="12" s="1"/>
  <c r="U26" i="12" a="1"/>
  <c r="U26" i="12" s="1"/>
  <c r="V26" i="12" a="1"/>
  <c r="V26" i="12" s="1"/>
  <c r="W26" i="12" a="1"/>
  <c r="W26" i="12" s="1"/>
  <c r="X26" i="12" a="1"/>
  <c r="X26" i="12" s="1"/>
  <c r="Y26" i="12" a="1"/>
  <c r="Y26" i="12"/>
  <c r="Z26" i="12" a="1"/>
  <c r="Z26" i="12" s="1"/>
  <c r="AA26" i="12" a="1"/>
  <c r="AA26" i="12" s="1"/>
  <c r="AB26" i="12" a="1"/>
  <c r="AB26" i="12" s="1"/>
  <c r="AC26" i="12" a="1"/>
  <c r="AC26" i="12"/>
  <c r="AD26" i="12" a="1"/>
  <c r="AD26" i="12" s="1"/>
  <c r="AE26" i="12" a="1"/>
  <c r="AE26" i="12"/>
  <c r="AF26" i="12" a="1"/>
  <c r="AF26" i="12" s="1"/>
  <c r="AG26" i="12" a="1"/>
  <c r="AG26" i="12"/>
  <c r="AH26" i="12" a="1"/>
  <c r="AH26" i="12" s="1"/>
  <c r="E27" i="12" a="1"/>
  <c r="E27" i="12" s="1"/>
  <c r="F27" i="12" a="1"/>
  <c r="F27" i="12" s="1"/>
  <c r="G27" i="12" a="1"/>
  <c r="G27" i="12" s="1"/>
  <c r="H27" i="12" a="1"/>
  <c r="H27" i="12" s="1"/>
  <c r="I27" i="12" a="1"/>
  <c r="I27" i="12" s="1"/>
  <c r="J27" i="12" a="1"/>
  <c r="J27" i="12"/>
  <c r="K27" i="12" a="1"/>
  <c r="K27" i="12" s="1"/>
  <c r="L27" i="12" a="1"/>
  <c r="L27" i="12"/>
  <c r="M27" i="12" a="1"/>
  <c r="M27" i="12" s="1"/>
  <c r="N27" i="12" a="1"/>
  <c r="N27" i="12" s="1"/>
  <c r="O27" i="12" a="1"/>
  <c r="O27" i="12" s="1"/>
  <c r="P27" i="12" a="1"/>
  <c r="P27" i="12" s="1"/>
  <c r="Q27" i="12" a="1"/>
  <c r="Q27" i="12" s="1"/>
  <c r="R27" i="12" a="1"/>
  <c r="R27" i="12" s="1"/>
  <c r="S27" i="12" a="1"/>
  <c r="S27" i="12" s="1"/>
  <c r="T27" i="12" a="1"/>
  <c r="T27" i="12"/>
  <c r="U27" i="12" a="1"/>
  <c r="U27" i="12" s="1"/>
  <c r="V27" i="12" a="1"/>
  <c r="V27" i="12" s="1"/>
  <c r="W27" i="12" a="1"/>
  <c r="W27" i="12" s="1"/>
  <c r="X27" i="12" a="1"/>
  <c r="X27" i="12"/>
  <c r="Y27" i="12" a="1"/>
  <c r="Y27" i="12" s="1"/>
  <c r="Z27" i="12" a="1"/>
  <c r="Z27" i="12"/>
  <c r="AA27" i="12" a="1"/>
  <c r="AA27" i="12" s="1"/>
  <c r="AB27" i="12" a="1"/>
  <c r="AB27" i="12"/>
  <c r="AC27" i="12" a="1"/>
  <c r="AC27" i="12" s="1"/>
  <c r="AD27" i="12" a="1"/>
  <c r="AD27" i="12" s="1"/>
  <c r="AE27" i="12" a="1"/>
  <c r="AE27" i="12" s="1"/>
  <c r="AF27" i="12" a="1"/>
  <c r="AF27" i="12" s="1"/>
  <c r="AG27" i="12" a="1"/>
  <c r="AG27" i="12" s="1"/>
  <c r="AH27" i="12" a="1"/>
  <c r="AH27" i="12" s="1"/>
  <c r="E28" i="12" a="1"/>
  <c r="E28" i="12"/>
  <c r="F28" i="12" a="1"/>
  <c r="F28" i="12" s="1"/>
  <c r="G28" i="12" a="1"/>
  <c r="G28" i="12"/>
  <c r="H28" i="12" a="1"/>
  <c r="H28" i="12" s="1"/>
  <c r="I28" i="12" a="1"/>
  <c r="I28" i="12" s="1"/>
  <c r="J28" i="12" a="1"/>
  <c r="J28" i="12" s="1"/>
  <c r="K28" i="12" a="1"/>
  <c r="K28" i="12" s="1"/>
  <c r="L28" i="12" a="1"/>
  <c r="L28" i="12" s="1"/>
  <c r="M28" i="12" a="1"/>
  <c r="M28" i="12" s="1"/>
  <c r="N28" i="12" a="1"/>
  <c r="N28" i="12" s="1"/>
  <c r="O28" i="12" a="1"/>
  <c r="O28" i="12"/>
  <c r="P28" i="12" a="1"/>
  <c r="P28" i="12" s="1"/>
  <c r="Q28" i="12" a="1"/>
  <c r="Q28" i="12" s="1"/>
  <c r="R28" i="12" a="1"/>
  <c r="R28" i="12" s="1"/>
  <c r="S28" i="12" a="1"/>
  <c r="S28" i="12"/>
  <c r="T28" i="12" a="1"/>
  <c r="T28" i="12" s="1"/>
  <c r="U28" i="12" a="1"/>
  <c r="U28" i="12"/>
  <c r="V28" i="12" a="1"/>
  <c r="V28" i="12" s="1"/>
  <c r="W28" i="12" a="1"/>
  <c r="W28" i="12" s="1"/>
  <c r="X28" i="12" a="1"/>
  <c r="X28" i="12" s="1"/>
  <c r="Y28" i="12" a="1"/>
  <c r="Y28" i="12" s="1"/>
  <c r="Z28" i="12" a="1"/>
  <c r="Z28" i="12" s="1"/>
  <c r="AA28" i="12" a="1"/>
  <c r="AA28" i="12" s="1"/>
  <c r="AB28" i="12" a="1"/>
  <c r="AB28" i="12" s="1"/>
  <c r="AC28" i="12" a="1"/>
  <c r="AC28" i="12" s="1"/>
  <c r="AD28" i="12" a="1"/>
  <c r="AD28" i="12" s="1"/>
  <c r="AE28" i="12" a="1"/>
  <c r="AE28" i="12"/>
  <c r="AF28" i="12" a="1"/>
  <c r="AF28" i="12" s="1"/>
  <c r="AG28" i="12" a="1"/>
  <c r="AG28" i="12"/>
  <c r="AH28" i="12" a="1"/>
  <c r="AH28" i="12" s="1"/>
  <c r="E29" i="12" a="1"/>
  <c r="E29" i="12" s="1"/>
  <c r="F29" i="12" a="1"/>
  <c r="F29" i="12" s="1"/>
  <c r="G29" i="12" a="1"/>
  <c r="G29" i="12" s="1"/>
  <c r="H29" i="12" a="1"/>
  <c r="H29" i="12" s="1"/>
  <c r="I29" i="12" a="1"/>
  <c r="I29" i="12" s="1"/>
  <c r="J29" i="12" a="1"/>
  <c r="J29" i="12"/>
  <c r="K29" i="12" a="1"/>
  <c r="K29" i="12" s="1"/>
  <c r="L29" i="12" a="1"/>
  <c r="L29" i="12" s="1"/>
  <c r="M29" i="12" a="1"/>
  <c r="M29" i="12" s="1"/>
  <c r="N29" i="12" a="1"/>
  <c r="N29" i="12" s="1"/>
  <c r="O29" i="12" a="1"/>
  <c r="O29" i="12"/>
  <c r="P29" i="12" a="1"/>
  <c r="P29" i="12"/>
  <c r="Q29" i="12" a="1"/>
  <c r="Q29" i="12" s="1"/>
  <c r="R29" i="12" a="1"/>
  <c r="R29" i="12"/>
  <c r="S29" i="12" a="1"/>
  <c r="S29" i="12"/>
  <c r="T29" i="12" a="1"/>
  <c r="T29" i="12" s="1"/>
  <c r="U29" i="12" a="1"/>
  <c r="U29" i="12" s="1"/>
  <c r="V29" i="12" a="1"/>
  <c r="V29" i="12" s="1"/>
  <c r="W29" i="12" a="1"/>
  <c r="W29" i="12" s="1"/>
  <c r="X29" i="12" a="1"/>
  <c r="X29" i="12"/>
  <c r="Y29" i="12" a="1"/>
  <c r="Y29" i="12" s="1"/>
  <c r="Z29" i="12" a="1"/>
  <c r="Z29" i="12" s="1"/>
  <c r="AA29" i="12" a="1"/>
  <c r="AA29" i="12"/>
  <c r="AB29" i="12" a="1"/>
  <c r="AB29" i="12"/>
  <c r="AC29" i="12" a="1"/>
  <c r="AC29" i="12" s="1"/>
  <c r="AD29" i="12" a="1"/>
  <c r="AD29" i="12"/>
  <c r="AE29" i="12" a="1"/>
  <c r="AE29" i="12" s="1"/>
  <c r="AF29" i="12" a="1"/>
  <c r="AF29" i="12" s="1"/>
  <c r="AG29" i="12" a="1"/>
  <c r="AG29" i="12" s="1"/>
  <c r="AH29" i="12" a="1"/>
  <c r="AH29" i="12" s="1"/>
  <c r="E30" i="12" a="1"/>
  <c r="E30" i="12"/>
  <c r="F30" i="12" a="1"/>
  <c r="F30" i="12" s="1"/>
  <c r="G30" i="12" a="1"/>
  <c r="G30" i="12" s="1"/>
  <c r="H30" i="12" a="1"/>
  <c r="H30" i="12" s="1"/>
  <c r="I30" i="12" a="1"/>
  <c r="I30" i="12" s="1"/>
  <c r="J30" i="12" a="1"/>
  <c r="J30" i="12"/>
  <c r="K30" i="12" a="1"/>
  <c r="K30" i="12"/>
  <c r="L30" i="12" a="1"/>
  <c r="L30" i="12" s="1"/>
  <c r="M30" i="12" a="1"/>
  <c r="M30" i="12"/>
  <c r="N30" i="12" a="1"/>
  <c r="N30" i="12"/>
  <c r="O30" i="12" a="1"/>
  <c r="O30" i="12" s="1"/>
  <c r="P30" i="12" a="1"/>
  <c r="P30" i="12" s="1"/>
  <c r="Q30" i="12" a="1"/>
  <c r="Q30" i="12" s="1"/>
  <c r="R30" i="12" a="1"/>
  <c r="R30" i="12" s="1"/>
  <c r="S30" i="12" a="1"/>
  <c r="S30" i="12"/>
  <c r="T30" i="12" a="1"/>
  <c r="T30" i="12" s="1"/>
  <c r="U30" i="12" a="1"/>
  <c r="U30" i="12" s="1"/>
  <c r="V30" i="12" a="1"/>
  <c r="V30" i="12" s="1"/>
  <c r="W30" i="12" a="1"/>
  <c r="W30" i="12"/>
  <c r="X30" i="12" a="1"/>
  <c r="X30" i="12" s="1"/>
  <c r="Y30" i="12" a="1"/>
  <c r="Y30" i="12"/>
  <c r="Z30" i="12" a="1"/>
  <c r="Z30" i="12" s="1"/>
  <c r="AA30" i="12" a="1"/>
  <c r="AA30" i="12" s="1"/>
  <c r="AB30" i="12" a="1"/>
  <c r="AB30" i="12" s="1"/>
  <c r="AC30" i="12" a="1"/>
  <c r="AC30" i="12" s="1"/>
  <c r="AD30" i="12" a="1"/>
  <c r="AD30" i="12"/>
  <c r="AE30" i="12" a="1"/>
  <c r="AE30" i="12" s="1"/>
  <c r="AF30" i="12" a="1"/>
  <c r="AF30" i="12" s="1"/>
  <c r="AG30" i="12" a="1"/>
  <c r="AG30" i="12"/>
  <c r="AH30" i="12" a="1"/>
  <c r="AH30" i="12"/>
  <c r="E31" i="12" a="1"/>
  <c r="E31" i="12"/>
  <c r="F31" i="12" a="1"/>
  <c r="F31" i="12"/>
  <c r="G31" i="12" a="1"/>
  <c r="G31" i="12" s="1"/>
  <c r="H31" i="12" a="1"/>
  <c r="H31" i="12" s="1"/>
  <c r="I31" i="12" a="1"/>
  <c r="I31" i="12"/>
  <c r="J31" i="12" a="1"/>
  <c r="J31" i="12" s="1"/>
  <c r="K31" i="12" a="1"/>
  <c r="K31" i="12" s="1"/>
  <c r="L31" i="12" a="1"/>
  <c r="L31" i="12" s="1"/>
  <c r="M31" i="12" a="1"/>
  <c r="M31" i="12" s="1"/>
  <c r="N31" i="12" a="1"/>
  <c r="N31" i="12"/>
  <c r="O31" i="12" a="1"/>
  <c r="O31" i="12" s="1"/>
  <c r="P31" i="12" a="1"/>
  <c r="P31" i="12"/>
  <c r="Q31" i="12" a="1"/>
  <c r="Q31" i="12" s="1"/>
  <c r="R31" i="12" a="1"/>
  <c r="R31" i="12"/>
  <c r="S31" i="12" a="1"/>
  <c r="S31" i="12" s="1"/>
  <c r="T31" i="12" a="1"/>
  <c r="T31" i="12"/>
  <c r="U31" i="12" a="1"/>
  <c r="U31" i="12" s="1"/>
  <c r="V31" i="12" a="1"/>
  <c r="V31" i="12" s="1"/>
  <c r="W31" i="12" a="1"/>
  <c r="W31" i="12" s="1"/>
  <c r="X31" i="12" a="1"/>
  <c r="X31" i="12" s="1"/>
  <c r="Y31" i="12" a="1"/>
  <c r="Y31" i="12"/>
  <c r="Z31" i="12" a="1"/>
  <c r="Z31" i="12"/>
  <c r="AA31" i="12" a="1"/>
  <c r="AA31" i="12" s="1"/>
  <c r="AB31" i="12" a="1"/>
  <c r="AB31" i="12"/>
  <c r="AC31" i="12" a="1"/>
  <c r="AC31" i="12"/>
  <c r="AD31" i="12" a="1"/>
  <c r="AD31" i="12" s="1"/>
  <c r="AE31" i="12" a="1"/>
  <c r="AE31" i="12" s="1"/>
  <c r="AF31" i="12" a="1"/>
  <c r="AF31" i="12"/>
  <c r="AG31" i="12" a="1"/>
  <c r="AG31" i="12" s="1"/>
  <c r="AH31" i="12" a="1"/>
  <c r="AH31" i="12"/>
  <c r="F6" i="12" a="1"/>
  <c r="F6" i="12" s="1"/>
  <c r="G6" i="12" a="1"/>
  <c r="G6" i="12" s="1"/>
  <c r="H6" i="12" a="1"/>
  <c r="H6" i="12"/>
  <c r="I6" i="12" a="1"/>
  <c r="I6" i="12"/>
  <c r="J6" i="12" a="1"/>
  <c r="J6" i="12" s="1"/>
  <c r="K6" i="12" a="1"/>
  <c r="K6" i="12" s="1"/>
  <c r="L6" i="12" a="1"/>
  <c r="L6" i="12"/>
  <c r="M6" i="12" a="1"/>
  <c r="M6" i="12"/>
  <c r="N6" i="12" a="1"/>
  <c r="N6" i="12" s="1"/>
  <c r="O6" i="12" a="1"/>
  <c r="O6" i="12" s="1"/>
  <c r="P6" i="12" a="1"/>
  <c r="P6" i="12"/>
  <c r="Q6" i="12" a="1"/>
  <c r="Q6" i="12" s="1"/>
  <c r="R6" i="12" a="1"/>
  <c r="R6" i="12" s="1"/>
  <c r="S6" i="12" a="1"/>
  <c r="S6" i="12" s="1"/>
  <c r="T6" i="12" a="1"/>
  <c r="T6" i="12"/>
  <c r="U6" i="12" a="1"/>
  <c r="U6" i="12" s="1"/>
  <c r="V6" i="12" a="1"/>
  <c r="V6" i="12" s="1"/>
  <c r="W6" i="12" a="1"/>
  <c r="W6" i="12" s="1"/>
  <c r="X6" i="12" a="1"/>
  <c r="X6" i="12"/>
  <c r="Y6" i="12" a="1"/>
  <c r="Y6" i="12" s="1"/>
  <c r="Z6" i="12" a="1"/>
  <c r="Z6" i="12" s="1"/>
  <c r="AA6" i="12" a="1"/>
  <c r="AA6" i="12" s="1"/>
  <c r="AB6" i="12" a="1"/>
  <c r="AB6" i="12" s="1"/>
  <c r="AC6" i="12" a="1"/>
  <c r="AC6" i="12" s="1"/>
  <c r="AD6" i="12" a="1"/>
  <c r="AD6" i="12" s="1"/>
  <c r="AE6" i="12" a="1"/>
  <c r="AE6" i="12" s="1"/>
  <c r="AF6" i="12" a="1"/>
  <c r="AF6" i="12" s="1"/>
  <c r="AG6" i="12" a="1"/>
  <c r="AG6" i="12" s="1"/>
  <c r="AH6" i="12" a="1"/>
  <c r="AH6" i="12" s="1"/>
  <c r="E6" i="12" a="1"/>
  <c r="E6" i="12" s="1"/>
  <c r="C7" i="12"/>
  <c r="C8" i="12"/>
  <c r="C9" i="12"/>
  <c r="C10" i="12"/>
  <c r="C11" i="12"/>
  <c r="C12" i="12"/>
  <c r="C13" i="12"/>
  <c r="C14" i="12"/>
  <c r="C15" i="12"/>
  <c r="C16" i="12"/>
  <c r="C17" i="12"/>
  <c r="C18" i="12"/>
  <c r="C19" i="12"/>
  <c r="C20" i="12"/>
  <c r="C21" i="12"/>
  <c r="C22" i="12"/>
  <c r="C23" i="12"/>
  <c r="C24" i="12"/>
  <c r="C25" i="12"/>
  <c r="C26" i="12"/>
  <c r="C27" i="12"/>
  <c r="C28" i="12"/>
  <c r="C29" i="12"/>
  <c r="C30" i="12"/>
  <c r="C31" i="12"/>
  <c r="C6" i="12"/>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5" i="11"/>
  <c r="S6" i="10"/>
  <c r="T5" i="10"/>
  <c r="S5" i="10"/>
  <c r="R5" i="10"/>
  <c r="T4" i="10"/>
  <c r="S4" i="10"/>
  <c r="R4" i="10"/>
  <c r="M16" i="10"/>
  <c r="M30" i="10"/>
  <c r="N30" i="10"/>
  <c r="O30" i="10"/>
  <c r="M31" i="10"/>
  <c r="N31" i="10"/>
  <c r="O31" i="10"/>
  <c r="M32" i="10"/>
  <c r="N32" i="10"/>
  <c r="O32" i="10"/>
  <c r="M33" i="10"/>
  <c r="N33" i="10"/>
  <c r="O33" i="10"/>
  <c r="M34" i="10"/>
  <c r="N34" i="10"/>
  <c r="O34" i="10"/>
  <c r="M35" i="10"/>
  <c r="N35" i="10"/>
  <c r="O35" i="10"/>
  <c r="M36" i="10"/>
  <c r="N36" i="10"/>
  <c r="O36" i="10"/>
  <c r="M37" i="10"/>
  <c r="N37" i="10"/>
  <c r="O37" i="10"/>
  <c r="M38" i="10"/>
  <c r="N38" i="10"/>
  <c r="O38" i="10"/>
  <c r="M39" i="10"/>
  <c r="N39" i="10"/>
  <c r="O39" i="10"/>
  <c r="M40" i="10"/>
  <c r="N40" i="10"/>
  <c r="O40" i="10"/>
  <c r="M41" i="10"/>
  <c r="N41" i="10"/>
  <c r="O41" i="10"/>
  <c r="M42" i="10"/>
  <c r="N42" i="10"/>
  <c r="O42" i="10"/>
  <c r="M43" i="10"/>
  <c r="N43" i="10"/>
  <c r="O43" i="10"/>
  <c r="M44" i="10"/>
  <c r="N44" i="10"/>
  <c r="O44" i="10"/>
  <c r="M45" i="10"/>
  <c r="N45" i="10"/>
  <c r="O45" i="10"/>
  <c r="M46" i="10"/>
  <c r="N46" i="10"/>
  <c r="O46" i="10"/>
  <c r="M47" i="10"/>
  <c r="N47" i="10"/>
  <c r="O47" i="10"/>
  <c r="M48" i="10"/>
  <c r="N48" i="10"/>
  <c r="O48" i="10"/>
  <c r="M49" i="10"/>
  <c r="N49" i="10"/>
  <c r="O49" i="10"/>
  <c r="M50" i="10"/>
  <c r="N50" i="10"/>
  <c r="O50" i="10"/>
  <c r="M51" i="10"/>
  <c r="N51" i="10"/>
  <c r="O51" i="10"/>
  <c r="M52" i="10"/>
  <c r="N52" i="10"/>
  <c r="O52" i="10"/>
  <c r="M53" i="10"/>
  <c r="N53" i="10"/>
  <c r="O53" i="10"/>
  <c r="M17" i="10"/>
  <c r="N17" i="10"/>
  <c r="O17" i="10"/>
  <c r="M18" i="10"/>
  <c r="N18" i="10"/>
  <c r="O18" i="10"/>
  <c r="M19" i="10"/>
  <c r="N19" i="10"/>
  <c r="M20" i="10"/>
  <c r="N20" i="10"/>
  <c r="O20" i="10"/>
  <c r="M21" i="10"/>
  <c r="N21" i="10"/>
  <c r="O21" i="10"/>
  <c r="M22" i="10"/>
  <c r="N22" i="10"/>
  <c r="O22" i="10"/>
  <c r="M23" i="10"/>
  <c r="N23" i="10"/>
  <c r="O23" i="10"/>
  <c r="M24" i="10"/>
  <c r="N24" i="10"/>
  <c r="O24" i="10"/>
  <c r="M25" i="10"/>
  <c r="N25" i="10"/>
  <c r="O25" i="10"/>
  <c r="M26" i="10"/>
  <c r="N26" i="10"/>
  <c r="O26" i="10"/>
  <c r="M27" i="10"/>
  <c r="N27" i="10"/>
  <c r="O27" i="10"/>
  <c r="M28" i="10"/>
  <c r="N28" i="10"/>
  <c r="O28" i="10"/>
  <c r="M29" i="10"/>
  <c r="N29" i="10"/>
  <c r="O29" i="10"/>
  <c r="O16" i="10"/>
  <c r="N16" i="10"/>
  <c r="D227" i="4"/>
  <c r="L53" i="10"/>
  <c r="K53" i="10"/>
  <c r="L52" i="10"/>
  <c r="K52" i="10"/>
  <c r="L51" i="10"/>
  <c r="K51" i="10"/>
  <c r="L50" i="10"/>
  <c r="K50" i="10"/>
  <c r="L49" i="10"/>
  <c r="K49" i="10"/>
  <c r="L48" i="10"/>
  <c r="K48" i="10"/>
  <c r="L47" i="10"/>
  <c r="K47" i="10"/>
  <c r="L46" i="10"/>
  <c r="K46" i="10"/>
  <c r="L45" i="10"/>
  <c r="K45" i="10"/>
  <c r="L44" i="10"/>
  <c r="K44" i="10"/>
  <c r="L43" i="10"/>
  <c r="K43" i="10"/>
  <c r="L42" i="10"/>
  <c r="K42" i="10"/>
  <c r="L41" i="10"/>
  <c r="K41" i="10"/>
  <c r="L40" i="10"/>
  <c r="K40" i="10"/>
  <c r="L39" i="10"/>
  <c r="K39" i="10"/>
  <c r="L38" i="10"/>
  <c r="K38" i="10"/>
  <c r="L37" i="10"/>
  <c r="K37" i="10"/>
  <c r="L36" i="10"/>
  <c r="K36" i="10"/>
  <c r="L35" i="10"/>
  <c r="K35" i="10"/>
  <c r="L34" i="10"/>
  <c r="K34" i="10"/>
  <c r="L33" i="10"/>
  <c r="K33" i="10"/>
  <c r="L32" i="10"/>
  <c r="K32" i="10"/>
  <c r="L31" i="10"/>
  <c r="K31" i="10"/>
  <c r="L30" i="10"/>
  <c r="K30" i="10"/>
  <c r="L29" i="10"/>
  <c r="K29" i="10"/>
  <c r="L28" i="10"/>
  <c r="K28" i="10"/>
  <c r="L27" i="10"/>
  <c r="K27" i="10"/>
  <c r="L26" i="10"/>
  <c r="K26" i="10"/>
  <c r="L25" i="10"/>
  <c r="K25" i="10"/>
  <c r="L24" i="10"/>
  <c r="K24" i="10"/>
  <c r="L23" i="10"/>
  <c r="K23" i="10"/>
  <c r="L22" i="10"/>
  <c r="K22" i="10"/>
  <c r="L21" i="10"/>
  <c r="K21" i="10"/>
  <c r="L20" i="10"/>
  <c r="K20" i="10"/>
  <c r="L19" i="10"/>
  <c r="K19" i="10"/>
  <c r="L18" i="10"/>
  <c r="K18" i="10"/>
  <c r="L17" i="10"/>
  <c r="K17" i="10"/>
  <c r="L16" i="10"/>
  <c r="K16" i="10"/>
  <c r="L15" i="10"/>
  <c r="K15" i="10"/>
  <c r="L14" i="10"/>
  <c r="K14" i="10"/>
  <c r="L13" i="10"/>
  <c r="K13" i="10"/>
  <c r="L12" i="10"/>
  <c r="K12" i="10"/>
  <c r="L11" i="10"/>
  <c r="K11" i="10"/>
  <c r="L10" i="10"/>
  <c r="K10" i="10"/>
  <c r="L9" i="10"/>
  <c r="K9" i="10"/>
  <c r="K8" i="10"/>
  <c r="K7" i="10"/>
  <c r="L6" i="10"/>
  <c r="K6" i="10"/>
  <c r="L5" i="10"/>
  <c r="K5" i="10"/>
  <c r="I4" i="10" a="1"/>
  <c r="I4" i="10" s="1"/>
  <c r="H4" i="10" a="1"/>
  <c r="H4" i="10" s="1"/>
  <c r="G4" i="10" a="1"/>
  <c r="G4" i="10" s="1"/>
  <c r="H6" i="10" a="1"/>
  <c r="H6" i="10" s="1"/>
  <c r="H7" i="10" a="1"/>
  <c r="H7" i="10" s="1"/>
  <c r="H8" i="10" a="1"/>
  <c r="H8" i="10" s="1"/>
  <c r="H9" i="10" a="1"/>
  <c r="H9" i="10" s="1"/>
  <c r="H10" i="10" a="1"/>
  <c r="H10" i="10" s="1"/>
  <c r="H11" i="10" a="1"/>
  <c r="H11" i="10" s="1"/>
  <c r="H12" i="10" a="1"/>
  <c r="H12" i="10" s="1"/>
  <c r="H13" i="10" a="1"/>
  <c r="H13" i="10" s="1"/>
  <c r="H14" i="10" a="1"/>
  <c r="H14" i="10" s="1"/>
  <c r="H15" i="10" a="1"/>
  <c r="H15" i="10" s="1"/>
  <c r="H16" i="10" a="1"/>
  <c r="H16" i="10" s="1"/>
  <c r="H17" i="10" a="1"/>
  <c r="H17" i="10" s="1"/>
  <c r="H18" i="10" a="1"/>
  <c r="H18" i="10" s="1"/>
  <c r="H19" i="10" a="1"/>
  <c r="H19" i="10" s="1"/>
  <c r="H20" i="10" a="1"/>
  <c r="H20" i="10" s="1"/>
  <c r="H21" i="10" a="1"/>
  <c r="H21" i="10" s="1"/>
  <c r="H22" i="10" a="1"/>
  <c r="H22" i="10" s="1"/>
  <c r="H23" i="10" a="1"/>
  <c r="H23" i="10" s="1"/>
  <c r="H24" i="10" a="1"/>
  <c r="H24" i="10" s="1"/>
  <c r="H25" i="10" a="1"/>
  <c r="H25" i="10" s="1"/>
  <c r="H26" i="10" a="1"/>
  <c r="H26" i="10" s="1"/>
  <c r="H27" i="10" a="1"/>
  <c r="H27" i="10" s="1"/>
  <c r="H28" i="10" a="1"/>
  <c r="H28" i="10" s="1"/>
  <c r="H29" i="10" a="1"/>
  <c r="H29" i="10" s="1"/>
  <c r="H30" i="10" a="1"/>
  <c r="H30" i="10" s="1"/>
  <c r="H31" i="10" a="1"/>
  <c r="H31" i="10" s="1"/>
  <c r="H32" i="10" a="1"/>
  <c r="H32" i="10" s="1"/>
  <c r="H33" i="10" a="1"/>
  <c r="H33" i="10" s="1"/>
  <c r="H34" i="10" a="1"/>
  <c r="H34" i="10" s="1"/>
  <c r="H35" i="10" a="1"/>
  <c r="H35" i="10" s="1"/>
  <c r="H36" i="10" a="1"/>
  <c r="H36" i="10" s="1"/>
  <c r="H37" i="10" a="1"/>
  <c r="H37" i="10" s="1"/>
  <c r="H38" i="10" a="1"/>
  <c r="H38" i="10" s="1"/>
  <c r="H39" i="10" a="1"/>
  <c r="H39" i="10" s="1"/>
  <c r="H40" i="10" a="1"/>
  <c r="H40" i="10" s="1"/>
  <c r="H41" i="10" a="1"/>
  <c r="H41" i="10" s="1"/>
  <c r="H42" i="10" a="1"/>
  <c r="H42" i="10" s="1"/>
  <c r="H43" i="10" a="1"/>
  <c r="H43" i="10" s="1"/>
  <c r="H44" i="10" a="1"/>
  <c r="H44" i="10" s="1"/>
  <c r="H45" i="10" a="1"/>
  <c r="H45" i="10" s="1"/>
  <c r="H46" i="10" a="1"/>
  <c r="H46" i="10" s="1"/>
  <c r="H47" i="10" a="1"/>
  <c r="H47" i="10" s="1"/>
  <c r="H48" i="10" a="1"/>
  <c r="H48" i="10" s="1"/>
  <c r="H49" i="10" a="1"/>
  <c r="H49" i="10" s="1"/>
  <c r="H50" i="10" a="1"/>
  <c r="H50" i="10" s="1"/>
  <c r="H51" i="10" a="1"/>
  <c r="H51" i="10" s="1"/>
  <c r="H52" i="10" a="1"/>
  <c r="H52" i="10" s="1"/>
  <c r="H53" i="10" a="1"/>
  <c r="H53" i="10" s="1"/>
  <c r="G6" i="10" a="1"/>
  <c r="G6" i="10" s="1"/>
  <c r="G7" i="10" a="1"/>
  <c r="G7" i="10" s="1"/>
  <c r="J7" i="10" s="1"/>
  <c r="G8" i="10" a="1"/>
  <c r="G8" i="10" s="1"/>
  <c r="G9" i="10" a="1"/>
  <c r="G9" i="10" s="1"/>
  <c r="J9" i="10" s="1"/>
  <c r="G10" i="10" a="1"/>
  <c r="G10" i="10" s="1"/>
  <c r="J10" i="10" s="1"/>
  <c r="G11" i="10" a="1"/>
  <c r="G11" i="10" s="1"/>
  <c r="J11" i="10" s="1"/>
  <c r="G12" i="10" a="1"/>
  <c r="G12" i="10" s="1"/>
  <c r="J12" i="10" s="1"/>
  <c r="G13" i="10" a="1"/>
  <c r="G13" i="10" s="1"/>
  <c r="J13" i="10" s="1"/>
  <c r="G14" i="10" a="1"/>
  <c r="G14" i="10" s="1"/>
  <c r="J14" i="10" s="1"/>
  <c r="G15" i="10" a="1"/>
  <c r="G15" i="10" s="1"/>
  <c r="J15" i="10" s="1"/>
  <c r="G16" i="10" a="1"/>
  <c r="G16" i="10"/>
  <c r="G17" i="10" a="1"/>
  <c r="G17" i="10"/>
  <c r="J17" i="10" s="1"/>
  <c r="G18" i="10" a="1"/>
  <c r="G18" i="10" s="1"/>
  <c r="J18" i="10" s="1"/>
  <c r="G19" i="10" a="1"/>
  <c r="G19" i="10" s="1"/>
  <c r="J19" i="10" s="1"/>
  <c r="G20" i="10" a="1"/>
  <c r="G20" i="10" s="1"/>
  <c r="J20" i="10" s="1"/>
  <c r="G21" i="10" a="1"/>
  <c r="G21" i="10" s="1"/>
  <c r="J21" i="10" s="1"/>
  <c r="G22" i="10" a="1"/>
  <c r="G22" i="10" s="1"/>
  <c r="G23" i="10" a="1"/>
  <c r="G23" i="10" s="1"/>
  <c r="J23" i="10" s="1"/>
  <c r="G24" i="10" a="1"/>
  <c r="G24" i="10" s="1"/>
  <c r="J24" i="10" s="1"/>
  <c r="G25" i="10" a="1"/>
  <c r="G25" i="10" s="1"/>
  <c r="J25" i="10" s="1"/>
  <c r="G26" i="10" a="1"/>
  <c r="G26" i="10" s="1"/>
  <c r="J26" i="10" s="1"/>
  <c r="G27" i="10" a="1"/>
  <c r="G27" i="10" s="1"/>
  <c r="J27" i="10" s="1"/>
  <c r="G28" i="10" a="1"/>
  <c r="G28" i="10" s="1"/>
  <c r="J28" i="10" s="1"/>
  <c r="G29" i="10" a="1"/>
  <c r="G29" i="10" s="1"/>
  <c r="J29" i="10" s="1"/>
  <c r="G30" i="10" a="1"/>
  <c r="G30" i="10" s="1"/>
  <c r="J30" i="10" s="1"/>
  <c r="G31" i="10" a="1"/>
  <c r="G31" i="10" s="1"/>
  <c r="J31" i="10" s="1"/>
  <c r="G32" i="10" a="1"/>
  <c r="G32" i="10" s="1"/>
  <c r="J32" i="10" s="1"/>
  <c r="G33" i="10" a="1"/>
  <c r="G33" i="10" s="1"/>
  <c r="J33" i="10" s="1"/>
  <c r="G34" i="10" a="1"/>
  <c r="G34" i="10" s="1"/>
  <c r="J34" i="10" s="1"/>
  <c r="G35" i="10" a="1"/>
  <c r="G35" i="10" s="1"/>
  <c r="J35" i="10" s="1"/>
  <c r="G36" i="10" a="1"/>
  <c r="G36" i="10" s="1"/>
  <c r="J36" i="10" s="1"/>
  <c r="G37" i="10" a="1"/>
  <c r="G37" i="10" s="1"/>
  <c r="J37" i="10" s="1"/>
  <c r="G38" i="10" a="1"/>
  <c r="G38" i="10" s="1"/>
  <c r="J38" i="10" s="1"/>
  <c r="G39" i="10" a="1"/>
  <c r="G39" i="10" s="1"/>
  <c r="J39" i="10" s="1"/>
  <c r="G40" i="10" a="1"/>
  <c r="G40" i="10" s="1"/>
  <c r="J40" i="10" s="1"/>
  <c r="G41" i="10" a="1"/>
  <c r="G41" i="10" s="1"/>
  <c r="J41" i="10" s="1"/>
  <c r="G42" i="10" a="1"/>
  <c r="G42" i="10" s="1"/>
  <c r="J42" i="10" s="1"/>
  <c r="G43" i="10" a="1"/>
  <c r="G43" i="10" s="1"/>
  <c r="J43" i="10" s="1"/>
  <c r="G44" i="10" a="1"/>
  <c r="G44" i="10" s="1"/>
  <c r="J44" i="10" s="1"/>
  <c r="G45" i="10" a="1"/>
  <c r="G45" i="10" s="1"/>
  <c r="J45" i="10" s="1"/>
  <c r="G46" i="10" a="1"/>
  <c r="G46" i="10" s="1"/>
  <c r="J46" i="10" s="1"/>
  <c r="G47" i="10" a="1"/>
  <c r="G47" i="10" s="1"/>
  <c r="J47" i="10" s="1"/>
  <c r="G48" i="10" a="1"/>
  <c r="G48" i="10" s="1"/>
  <c r="J48" i="10" s="1"/>
  <c r="G49" i="10" a="1"/>
  <c r="G49" i="10" s="1"/>
  <c r="J49" i="10" s="1"/>
  <c r="G50" i="10" a="1"/>
  <c r="G50" i="10" s="1"/>
  <c r="J51" i="10" s="1"/>
  <c r="G51" i="10" a="1"/>
  <c r="G51" i="10" s="1"/>
  <c r="G52" i="10" a="1"/>
  <c r="G52" i="10" s="1"/>
  <c r="J52" i="10" s="1"/>
  <c r="G53" i="10" a="1"/>
  <c r="G53" i="10" s="1"/>
  <c r="J53" i="10" s="1"/>
  <c r="H5" i="10" a="1"/>
  <c r="H5" i="10" s="1"/>
  <c r="D229" i="4"/>
  <c r="D228" i="4"/>
  <c r="G5" i="10" a="1"/>
  <c r="G5" i="10" s="1"/>
  <c r="J6" i="10" s="1"/>
  <c r="I6" i="10" a="1"/>
  <c r="I6"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I22" i="10" a="1"/>
  <c r="I22" i="10" s="1"/>
  <c r="I23" i="10" a="1"/>
  <c r="I23" i="10" s="1"/>
  <c r="I24" i="10" a="1"/>
  <c r="I24" i="10" s="1"/>
  <c r="I25" i="10" a="1"/>
  <c r="I25" i="10" s="1"/>
  <c r="I26" i="10" a="1"/>
  <c r="I26" i="10" s="1"/>
  <c r="I27" i="10" a="1"/>
  <c r="I27" i="10" s="1"/>
  <c r="I28" i="10" a="1"/>
  <c r="I28" i="10" s="1"/>
  <c r="I29" i="10" a="1"/>
  <c r="I29" i="10" s="1"/>
  <c r="I30" i="10" a="1"/>
  <c r="I30" i="10" s="1"/>
  <c r="I31" i="10" a="1"/>
  <c r="I31" i="10" s="1"/>
  <c r="I32" i="10" a="1"/>
  <c r="I32" i="10" s="1"/>
  <c r="I33" i="10" a="1"/>
  <c r="I33" i="10" s="1"/>
  <c r="I34" i="10" a="1"/>
  <c r="I34" i="10" s="1"/>
  <c r="I35" i="10" a="1"/>
  <c r="I35" i="10" s="1"/>
  <c r="I36" i="10" a="1"/>
  <c r="I36" i="10" s="1"/>
  <c r="I37" i="10" a="1"/>
  <c r="I37" i="10" s="1"/>
  <c r="I38" i="10" a="1"/>
  <c r="I38" i="10" s="1"/>
  <c r="I39" i="10" a="1"/>
  <c r="I39" i="10" s="1"/>
  <c r="I40" i="10" a="1"/>
  <c r="I40" i="10" s="1"/>
  <c r="I41" i="10" a="1"/>
  <c r="I41" i="10" s="1"/>
  <c r="I42" i="10" a="1"/>
  <c r="I42" i="10" s="1"/>
  <c r="I43" i="10" a="1"/>
  <c r="I43" i="10" s="1"/>
  <c r="I44" i="10" a="1"/>
  <c r="I44" i="10" s="1"/>
  <c r="I45" i="10" a="1"/>
  <c r="I45" i="10" s="1"/>
  <c r="I46" i="10" a="1"/>
  <c r="I46" i="10" s="1"/>
  <c r="I47" i="10" a="1"/>
  <c r="I47" i="10" s="1"/>
  <c r="I48" i="10" a="1"/>
  <c r="I48" i="10" s="1"/>
  <c r="I49" i="10" a="1"/>
  <c r="I49" i="10" s="1"/>
  <c r="I50" i="10" a="1"/>
  <c r="I50" i="10" s="1"/>
  <c r="I51" i="10" a="1"/>
  <c r="I51" i="10" s="1"/>
  <c r="I52" i="10" a="1"/>
  <c r="I52" i="10" s="1"/>
  <c r="I53" i="10" a="1"/>
  <c r="I53" i="10" s="1"/>
  <c r="I5" i="10" a="1"/>
  <c r="I5" i="10" s="1"/>
  <c r="O19" i="10" l="1"/>
  <c r="R6" i="10" s="1"/>
  <c r="T6" i="10" s="1"/>
  <c r="L8" i="10"/>
  <c r="L7" i="10"/>
  <c r="J16" i="10"/>
  <c r="J22" i="10"/>
  <c r="J8" i="10"/>
  <c r="J5" i="10"/>
  <c r="J50" i="10"/>
  <c r="D7" i="8" a="1"/>
  <c r="D7" i="8" s="1"/>
  <c r="E7" i="8" a="1"/>
  <c r="E7" i="8" s="1"/>
  <c r="F7" i="8" a="1"/>
  <c r="F7" i="8" s="1"/>
  <c r="G7" i="8" a="1"/>
  <c r="G7" i="8" s="1"/>
  <c r="H7" i="8" a="1"/>
  <c r="H7" i="8" s="1"/>
  <c r="I7" i="8" a="1"/>
  <c r="I7" i="8" s="1"/>
  <c r="J7" i="8" a="1"/>
  <c r="J7" i="8" s="1"/>
  <c r="K7" i="8" a="1"/>
  <c r="K7" i="8" s="1"/>
  <c r="L7" i="8" a="1"/>
  <c r="L7" i="8" s="1"/>
  <c r="M7" i="8" a="1"/>
  <c r="M7" i="8" s="1"/>
  <c r="N7" i="8" a="1"/>
  <c r="N7" i="8" s="1"/>
  <c r="D8" i="8" a="1"/>
  <c r="D8" i="8" s="1"/>
  <c r="E8" i="8" a="1"/>
  <c r="E8" i="8" s="1"/>
  <c r="F8" i="8" a="1"/>
  <c r="F8" i="8" s="1"/>
  <c r="G8" i="8" a="1"/>
  <c r="G8" i="8" s="1"/>
  <c r="H8" i="8" a="1"/>
  <c r="H8" i="8" s="1"/>
  <c r="I8" i="8" a="1"/>
  <c r="I8" i="8" s="1"/>
  <c r="J8" i="8" a="1"/>
  <c r="J8" i="8" s="1"/>
  <c r="K8" i="8" a="1"/>
  <c r="K8" i="8" s="1"/>
  <c r="L8" i="8" a="1"/>
  <c r="L8" i="8" s="1"/>
  <c r="M8" i="8" a="1"/>
  <c r="M8" i="8" s="1"/>
  <c r="N8" i="8" a="1"/>
  <c r="N8" i="8" s="1"/>
  <c r="D9" i="8" a="1"/>
  <c r="D9" i="8" s="1"/>
  <c r="E9" i="8" a="1"/>
  <c r="E9" i="8" s="1"/>
  <c r="F9" i="8" a="1"/>
  <c r="F9" i="8" s="1"/>
  <c r="G9" i="8" a="1"/>
  <c r="G9" i="8" s="1"/>
  <c r="H9" i="8" a="1"/>
  <c r="H9" i="8" s="1"/>
  <c r="I9" i="8" a="1"/>
  <c r="I9" i="8" s="1"/>
  <c r="J9" i="8" a="1"/>
  <c r="J9" i="8" s="1"/>
  <c r="K9" i="8" a="1"/>
  <c r="K9" i="8" s="1"/>
  <c r="L9" i="8" a="1"/>
  <c r="L9" i="8" s="1"/>
  <c r="M9" i="8" a="1"/>
  <c r="M9" i="8" s="1"/>
  <c r="N9" i="8" a="1"/>
  <c r="N9" i="8" s="1"/>
  <c r="D10" i="8" a="1"/>
  <c r="D10" i="8" s="1"/>
  <c r="E10" i="8" a="1"/>
  <c r="E10" i="8" s="1"/>
  <c r="F10" i="8" a="1"/>
  <c r="F10" i="8" s="1"/>
  <c r="G10" i="8" a="1"/>
  <c r="G10" i="8" s="1"/>
  <c r="H10" i="8" a="1"/>
  <c r="H10" i="8" s="1"/>
  <c r="I10" i="8" a="1"/>
  <c r="I10" i="8" s="1"/>
  <c r="J10" i="8" a="1"/>
  <c r="J10" i="8" s="1"/>
  <c r="K10" i="8" a="1"/>
  <c r="K10" i="8" s="1"/>
  <c r="L10" i="8" a="1"/>
  <c r="L10" i="8" s="1"/>
  <c r="M10" i="8" a="1"/>
  <c r="M10" i="8" s="1"/>
  <c r="N10" i="8" a="1"/>
  <c r="N10" i="8" s="1"/>
  <c r="D11" i="8" a="1"/>
  <c r="D11" i="8" s="1"/>
  <c r="E11" i="8" a="1"/>
  <c r="E11" i="8" s="1"/>
  <c r="F11" i="8" a="1"/>
  <c r="F11" i="8" s="1"/>
  <c r="G11" i="8" a="1"/>
  <c r="G11" i="8" s="1"/>
  <c r="H11" i="8" a="1"/>
  <c r="H11" i="8" s="1"/>
  <c r="I11" i="8" a="1"/>
  <c r="I11" i="8" s="1"/>
  <c r="J11" i="8" a="1"/>
  <c r="J11" i="8" s="1"/>
  <c r="K11" i="8" a="1"/>
  <c r="K11" i="8" s="1"/>
  <c r="L11" i="8" a="1"/>
  <c r="L11" i="8" s="1"/>
  <c r="M11" i="8" a="1"/>
  <c r="M11" i="8" s="1"/>
  <c r="N11" i="8" a="1"/>
  <c r="N11" i="8" s="1"/>
  <c r="D12" i="8" a="1"/>
  <c r="D12" i="8" s="1"/>
  <c r="E12" i="8" a="1"/>
  <c r="E12" i="8" s="1"/>
  <c r="F12" i="8" a="1"/>
  <c r="F12" i="8" s="1"/>
  <c r="G12" i="8" a="1"/>
  <c r="G12" i="8" s="1"/>
  <c r="H12" i="8" a="1"/>
  <c r="H12" i="8" s="1"/>
  <c r="I12" i="8" a="1"/>
  <c r="I12" i="8" s="1"/>
  <c r="J12" i="8" a="1"/>
  <c r="J12" i="8" s="1"/>
  <c r="K12" i="8" a="1"/>
  <c r="K12" i="8" s="1"/>
  <c r="L12" i="8" a="1"/>
  <c r="L12" i="8" s="1"/>
  <c r="M12" i="8" a="1"/>
  <c r="M12" i="8" s="1"/>
  <c r="N12" i="8" a="1"/>
  <c r="N12" i="8" s="1"/>
  <c r="D13" i="8" a="1"/>
  <c r="D13" i="8" s="1"/>
  <c r="E13" i="8" a="1"/>
  <c r="E13" i="8" s="1"/>
  <c r="F13" i="8" a="1"/>
  <c r="F13" i="8" s="1"/>
  <c r="G13" i="8" a="1"/>
  <c r="G13" i="8" s="1"/>
  <c r="H13" i="8" a="1"/>
  <c r="H13" i="8" s="1"/>
  <c r="I13" i="8" a="1"/>
  <c r="I13" i="8" s="1"/>
  <c r="J13" i="8" a="1"/>
  <c r="J13" i="8" s="1"/>
  <c r="K13" i="8" a="1"/>
  <c r="K13" i="8" s="1"/>
  <c r="L13" i="8" a="1"/>
  <c r="L13" i="8" s="1"/>
  <c r="M13" i="8" a="1"/>
  <c r="M13" i="8" s="1"/>
  <c r="N13" i="8" a="1"/>
  <c r="N13" i="8" s="1"/>
  <c r="D14" i="8" a="1"/>
  <c r="D14" i="8" s="1"/>
  <c r="E14" i="8" a="1"/>
  <c r="E14" i="8" s="1"/>
  <c r="F14" i="8" a="1"/>
  <c r="F14" i="8" s="1"/>
  <c r="G14" i="8" a="1"/>
  <c r="G14" i="8" s="1"/>
  <c r="H14" i="8" a="1"/>
  <c r="H14" i="8" s="1"/>
  <c r="I14" i="8" a="1"/>
  <c r="I14" i="8" s="1"/>
  <c r="J14" i="8" a="1"/>
  <c r="J14" i="8" s="1"/>
  <c r="K14" i="8" a="1"/>
  <c r="K14" i="8" s="1"/>
  <c r="L14" i="8" a="1"/>
  <c r="L14" i="8" s="1"/>
  <c r="M14" i="8" a="1"/>
  <c r="M14" i="8" s="1"/>
  <c r="N14" i="8" a="1"/>
  <c r="N14" i="8" s="1"/>
  <c r="D15" i="8" a="1"/>
  <c r="D15" i="8" s="1"/>
  <c r="E15" i="8" a="1"/>
  <c r="E15" i="8" s="1"/>
  <c r="F15" i="8" a="1"/>
  <c r="F15" i="8" s="1"/>
  <c r="G15" i="8" a="1"/>
  <c r="G15" i="8" s="1"/>
  <c r="H15" i="8" a="1"/>
  <c r="H15" i="8" s="1"/>
  <c r="I15" i="8" a="1"/>
  <c r="I15" i="8" s="1"/>
  <c r="J15" i="8" a="1"/>
  <c r="J15" i="8" s="1"/>
  <c r="K15" i="8" a="1"/>
  <c r="K15" i="8" s="1"/>
  <c r="L15" i="8" a="1"/>
  <c r="L15" i="8" s="1"/>
  <c r="M15" i="8" a="1"/>
  <c r="M15" i="8" s="1"/>
  <c r="N15" i="8" a="1"/>
  <c r="N15" i="8" s="1"/>
  <c r="D16" i="8" a="1"/>
  <c r="D16" i="8" s="1"/>
  <c r="E16" i="8" a="1"/>
  <c r="E16" i="8" s="1"/>
  <c r="F16" i="8" a="1"/>
  <c r="F16" i="8" s="1"/>
  <c r="G16" i="8" a="1"/>
  <c r="G16" i="8" s="1"/>
  <c r="H16" i="8" a="1"/>
  <c r="H16" i="8" s="1"/>
  <c r="I16" i="8" a="1"/>
  <c r="I16" i="8" s="1"/>
  <c r="J16" i="8" a="1"/>
  <c r="J16" i="8" s="1"/>
  <c r="K16" i="8" a="1"/>
  <c r="K16" i="8" s="1"/>
  <c r="L16" i="8" a="1"/>
  <c r="L16" i="8" s="1"/>
  <c r="M16" i="8" a="1"/>
  <c r="M16" i="8" s="1"/>
  <c r="N16" i="8" a="1"/>
  <c r="N16" i="8" s="1"/>
  <c r="D17" i="8" a="1"/>
  <c r="D17" i="8" s="1"/>
  <c r="E17" i="8" a="1"/>
  <c r="E17" i="8" s="1"/>
  <c r="F17" i="8" a="1"/>
  <c r="F17" i="8" s="1"/>
  <c r="G17" i="8" a="1"/>
  <c r="G17" i="8" s="1"/>
  <c r="H17" i="8" a="1"/>
  <c r="H17" i="8" s="1"/>
  <c r="I17" i="8" a="1"/>
  <c r="I17" i="8" s="1"/>
  <c r="J17" i="8" a="1"/>
  <c r="J17" i="8" s="1"/>
  <c r="K17" i="8" a="1"/>
  <c r="K17" i="8" s="1"/>
  <c r="L17" i="8" a="1"/>
  <c r="L17" i="8" s="1"/>
  <c r="M17" i="8" a="1"/>
  <c r="M17" i="8" s="1"/>
  <c r="N17" i="8" a="1"/>
  <c r="N17" i="8" s="1"/>
  <c r="D18" i="8" a="1"/>
  <c r="D18" i="8" s="1"/>
  <c r="E18" i="8" a="1"/>
  <c r="E18" i="8" s="1"/>
  <c r="F18" i="8" a="1"/>
  <c r="F18" i="8" s="1"/>
  <c r="G18" i="8" a="1"/>
  <c r="G18" i="8" s="1"/>
  <c r="H18" i="8" a="1"/>
  <c r="H18" i="8" s="1"/>
  <c r="I18" i="8" a="1"/>
  <c r="I18" i="8" s="1"/>
  <c r="J18" i="8" a="1"/>
  <c r="J18" i="8" s="1"/>
  <c r="K18" i="8" a="1"/>
  <c r="K18" i="8" s="1"/>
  <c r="L18" i="8" a="1"/>
  <c r="L18" i="8" s="1"/>
  <c r="M18" i="8" a="1"/>
  <c r="M18" i="8" s="1"/>
  <c r="N18" i="8" a="1"/>
  <c r="N18" i="8" s="1"/>
  <c r="C8" i="8" a="1"/>
  <c r="C8" i="8" s="1"/>
  <c r="C9" i="8" a="1"/>
  <c r="C9" i="8" s="1"/>
  <c r="C10" i="8" a="1"/>
  <c r="C10" i="8" s="1"/>
  <c r="C11" i="8" a="1"/>
  <c r="C11" i="8" s="1"/>
  <c r="C12" i="8" a="1"/>
  <c r="C12" i="8" s="1"/>
  <c r="C13" i="8" a="1"/>
  <c r="C13" i="8" s="1"/>
  <c r="C14" i="8" a="1"/>
  <c r="C14" i="8" s="1"/>
  <c r="C15" i="8" a="1"/>
  <c r="C15" i="8" s="1"/>
  <c r="C16" i="8" a="1"/>
  <c r="C16" i="8" s="1"/>
  <c r="C17" i="8" a="1"/>
  <c r="C17" i="8" s="1"/>
  <c r="C18" i="8" a="1"/>
  <c r="C18" i="8" s="1"/>
  <c r="C7" i="8" a="1"/>
  <c r="C7" i="8" s="1"/>
  <c r="I18" i="7" a="1"/>
  <c r="I18" i="7" s="1"/>
  <c r="I17" i="7" a="1"/>
  <c r="I17" i="7" s="1"/>
  <c r="I16" i="7" a="1"/>
  <c r="I16" i="7" s="1"/>
  <c r="I15" i="7" a="1"/>
  <c r="I15" i="7" s="1"/>
  <c r="I14" i="7" a="1"/>
  <c r="I14" i="7" s="1"/>
  <c r="I13" i="7" a="1"/>
  <c r="I13" i="7" s="1"/>
  <c r="I12" i="7" a="1"/>
  <c r="I12" i="7" s="1"/>
  <c r="I11" i="7" a="1"/>
  <c r="I11" i="7" s="1"/>
  <c r="H18" i="7" a="1"/>
  <c r="H18" i="7" s="1"/>
  <c r="H17" i="7" a="1"/>
  <c r="H17" i="7" s="1"/>
  <c r="H16" i="7" a="1"/>
  <c r="H16" i="7" s="1"/>
  <c r="H15" i="7" a="1"/>
  <c r="H15" i="7" s="1"/>
  <c r="H14" i="7" a="1"/>
  <c r="H14" i="7" s="1"/>
  <c r="H13" i="7" a="1"/>
  <c r="H13" i="7" s="1"/>
  <c r="H12" i="7" a="1"/>
  <c r="H12" i="7" s="1"/>
  <c r="H11" i="7" a="1"/>
  <c r="H11" i="7" s="1"/>
  <c r="G18" i="7" a="1"/>
  <c r="G18" i="7" s="1"/>
  <c r="G17" i="7" a="1"/>
  <c r="G17" i="7" s="1"/>
  <c r="G16" i="7" a="1"/>
  <c r="G16" i="7" s="1"/>
  <c r="G15" i="7" a="1"/>
  <c r="G15" i="7" s="1"/>
  <c r="G14" i="7" a="1"/>
  <c r="G14" i="7" s="1"/>
  <c r="G13" i="7" a="1"/>
  <c r="G13" i="7" s="1"/>
  <c r="G12" i="7" a="1"/>
  <c r="G12" i="7" s="1"/>
  <c r="G11" i="7" a="1"/>
  <c r="G11" i="7" s="1"/>
  <c r="K20" i="6"/>
  <c r="K19" i="6"/>
  <c r="K18" i="6"/>
  <c r="K17" i="6"/>
  <c r="K16" i="6"/>
  <c r="K15" i="6"/>
  <c r="K14" i="6"/>
  <c r="K13" i="6"/>
  <c r="K12" i="6"/>
  <c r="K11" i="6"/>
  <c r="J20" i="6"/>
  <c r="J19" i="6"/>
  <c r="J18" i="6"/>
  <c r="J17" i="6"/>
  <c r="J16" i="6"/>
  <c r="J15" i="6"/>
  <c r="J14" i="6"/>
  <c r="J13" i="6"/>
  <c r="J12" i="6"/>
  <c r="J11" i="6"/>
  <c r="I20" i="6"/>
  <c r="I19" i="6"/>
  <c r="I18" i="6"/>
  <c r="I17" i="6"/>
  <c r="I16" i="6"/>
  <c r="I15" i="6"/>
  <c r="I14" i="6"/>
  <c r="I13" i="6"/>
  <c r="I12" i="6"/>
  <c r="I11" i="6"/>
  <c r="W264" i="4"/>
  <c r="D267" i="4"/>
  <c r="S268" i="4"/>
  <c r="R268" i="4"/>
  <c r="Q268" i="4"/>
  <c r="P268" i="4"/>
  <c r="O268" i="4"/>
  <c r="N268" i="4"/>
  <c r="M268" i="4"/>
  <c r="L268" i="4"/>
  <c r="K268" i="4"/>
  <c r="J268" i="4"/>
  <c r="I268" i="4"/>
  <c r="H268" i="4"/>
  <c r="G268" i="4"/>
  <c r="F268" i="4"/>
  <c r="E10" i="1"/>
  <c r="D268" i="4"/>
  <c r="E265" i="4"/>
  <c r="K12" i="7" l="1"/>
  <c r="H39" i="8" a="1"/>
  <c r="E268" i="4"/>
  <c r="G39" i="8" a="1"/>
  <c r="G39" i="8" s="1"/>
  <c r="O7" i="8"/>
  <c r="O18" i="8"/>
  <c r="O17" i="8"/>
  <c r="O16" i="8"/>
  <c r="O15" i="8"/>
  <c r="O14" i="8"/>
  <c r="O13" i="8"/>
  <c r="O12" i="8"/>
  <c r="O11" i="8"/>
  <c r="O10" i="8"/>
  <c r="O9" i="8"/>
  <c r="O8" i="8"/>
  <c r="K18" i="7"/>
  <c r="L16" i="7"/>
  <c r="L17" i="7"/>
  <c r="L18" i="7"/>
  <c r="L13" i="7"/>
  <c r="L14" i="7"/>
  <c r="L15" i="7"/>
  <c r="L12" i="7"/>
  <c r="K15" i="7"/>
  <c r="K17" i="7"/>
  <c r="K16" i="7"/>
  <c r="K13" i="7"/>
  <c r="K14" i="7"/>
  <c r="K21" i="6"/>
  <c r="N11" i="6" s="1"/>
  <c r="I21" i="6"/>
  <c r="L11" i="6" s="1"/>
  <c r="J21" i="6"/>
  <c r="M12" i="6" s="1"/>
  <c r="Q267" i="4"/>
  <c r="I50" i="8" l="1"/>
  <c r="P15" i="8"/>
  <c r="H39" i="8"/>
  <c r="I39" i="8" s="1"/>
  <c r="I44" i="8"/>
  <c r="I40" i="8"/>
  <c r="I48" i="8"/>
  <c r="I41" i="8"/>
  <c r="P8" i="8"/>
  <c r="P16" i="8"/>
  <c r="I45" i="8"/>
  <c r="I43" i="8"/>
  <c r="I47" i="8"/>
  <c r="P11" i="8"/>
  <c r="I49" i="8"/>
  <c r="I46" i="8"/>
  <c r="I42" i="8"/>
  <c r="P17" i="8"/>
  <c r="P12" i="8"/>
  <c r="P14" i="8"/>
  <c r="P9" i="8"/>
  <c r="P18" i="8"/>
  <c r="P10" i="8"/>
  <c r="P13" i="8"/>
  <c r="N19" i="6"/>
  <c r="N18" i="6"/>
  <c r="N12" i="6"/>
  <c r="N15" i="6"/>
  <c r="N13" i="6"/>
  <c r="M19" i="6"/>
  <c r="M17" i="6"/>
  <c r="M13" i="6"/>
  <c r="M18" i="6"/>
  <c r="M11" i="6"/>
  <c r="N17" i="6"/>
  <c r="M14" i="6"/>
  <c r="L17" i="6"/>
  <c r="L16" i="6"/>
  <c r="M15" i="6"/>
  <c r="L12" i="6"/>
  <c r="L19" i="6"/>
  <c r="M16" i="6"/>
  <c r="L13" i="6"/>
  <c r="N14" i="6"/>
  <c r="L14" i="6"/>
  <c r="N16" i="6"/>
  <c r="L15" i="6"/>
  <c r="L18" i="6"/>
  <c r="L21" i="6" l="1"/>
  <c r="N21" i="6"/>
  <c r="M2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A12BD5-C8B5-458E-93CF-F0746157A794}"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 id="2" xr16:uid="{BA6368D1-44C8-4BAB-8268-250438EABA19}" keepAlive="1" name="Query - All_India_Index_Upto_April23 (1 (2)" description="Connection to the 'All_India_Index_Upto_April23 (1 (2)' query in the workbook." type="5" refreshedVersion="8" background="1" saveData="1">
    <dbPr connection="Provider=Microsoft.Mashup.OleDb.1;Data Source=$Workbook$;Location=&quot;All_India_Index_Upto_April23 (1 (2)&quot;;Extended Properties=&quot;&quot;" command="SELECT * FROM [All_India_Index_Upto_April23 (1 (2)]"/>
  </connection>
  <connection id="3" xr16:uid="{85F93E8D-1541-4AC4-89DA-22A93F00DB4B}" keepAlive="1" name="Query - All_India_Index_Upto_April23 (1 (3)" description="Connection to the 'All_India_Index_Upto_April23 (1 (3)' query in the workbook." type="5" refreshedVersion="8" background="1" saveData="1">
    <dbPr connection="Provider=Microsoft.Mashup.OleDb.1;Data Source=$Workbook$;Location=&quot;All_India_Index_Upto_April23 (1 (3)&quot;;Extended Properties=&quot;&quot;" command="SELECT * FROM [All_India_Index_Upto_April23 (1 (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<sst xmlns="http://schemas.openxmlformats.org/spreadsheetml/2006/main" count="2515" uniqueCount="172">
  <si>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</si>
  <si>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</si>
  <si>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</si>
  <si>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</si>
  <si>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</si>
  <si>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</si>
  <si>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</si>
  <si>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</si>
  <si>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</si>
  <si>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</si>
  <si>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</si>
  <si>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</si>
  <si>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</si>
  <si>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</si>
  <si>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</si>
  <si>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</si>
  <si>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</si>
  <si>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</si>
  <si>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</si>
  <si>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</si>
  <si>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</si>
  <si>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</si>
  <si>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</si>
  <si>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</si>
  <si>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</si>
  <si>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</si>
  <si>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</si>
  <si>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</si>
  <si>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</si>
  <si>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</si>
  <si>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</si>
  <si>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</si>
  <si>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</si>
  <si>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</si>
  <si>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</si>
  <si>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</si>
  <si>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</si>
  <si>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</si>
  <si>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</si>
  <si>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</si>
  <si>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</si>
  <si>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</si>
  <si>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</si>
  <si>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</si>
  <si>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November</t>
  </si>
  <si>
    <t>December</t>
  </si>
  <si>
    <t>Marcrh</t>
  </si>
  <si>
    <t>-</t>
  </si>
  <si>
    <t xml:space="preserve">Password </t>
  </si>
  <si>
    <t>IndiaCPI</t>
  </si>
  <si>
    <t xml:space="preserve">April </t>
  </si>
  <si>
    <t>ma</t>
  </si>
  <si>
    <t>Missing observations were imputed using a 3-observation moving-average approach. The missing observation was excluded, and the three nearest available monthly observations from the same sector and CPI category were averaged."</t>
  </si>
  <si>
    <t>Missing values</t>
  </si>
  <si>
    <t>which formula is used to impute the values</t>
  </si>
  <si>
    <t>moving average formula used to fill the cell than paste them as values</t>
  </si>
  <si>
    <t>Category</t>
  </si>
  <si>
    <t>Food</t>
  </si>
  <si>
    <t>New Food Category</t>
  </si>
  <si>
    <t>Luxury</t>
  </si>
  <si>
    <t>Transportation</t>
  </si>
  <si>
    <t xml:space="preserve">Other expenses </t>
  </si>
  <si>
    <t>GI</t>
  </si>
  <si>
    <t>Total (Exc GI)</t>
  </si>
  <si>
    <t>May'2023</t>
  </si>
  <si>
    <t>Consumer Price Index (CPI) data, Government of India</t>
  </si>
  <si>
    <t>Reference Month: May 2023</t>
  </si>
  <si>
    <t>Rural + Urban Index</t>
  </si>
  <si>
    <t>Rural Index</t>
  </si>
  <si>
    <t>Urban Index</t>
  </si>
  <si>
    <t>Rural + Urban YoY</t>
  </si>
  <si>
    <t>Rural YoY</t>
  </si>
  <si>
    <t>Urban YoY</t>
  </si>
  <si>
    <t>CPI Index and YoY Inflation — March Data</t>
  </si>
  <si>
    <t>Reason for the Highest Inflation in 2022</t>
  </si>
  <si>
    <t>Food Bucket</t>
  </si>
  <si>
    <t>MoM Inflation</t>
  </si>
  <si>
    <t>Food Category</t>
  </si>
  <si>
    <t>Absolute Change</t>
  </si>
  <si>
    <t>YoY Inflation by Food Category (Jun-22 to May-23)</t>
  </si>
  <si>
    <r>
      <rPr>
        <b/>
        <u/>
        <sz val="11"/>
        <color theme="1"/>
        <rFont val="Arial Black"/>
        <family val="2"/>
      </rPr>
      <t>Insight:</t>
    </r>
    <r>
      <rPr>
        <b/>
        <sz val="11"/>
        <color theme="1"/>
        <rFont val="Arial"/>
        <family val="2"/>
      </rPr>
      <t xml:space="preserve"> </t>
    </r>
    <r>
      <rPr>
        <sz val="11"/>
        <color theme="1"/>
        <rFont val="Arial"/>
        <family val="2"/>
      </rPr>
      <t>The highest Rural + Urban YoY inflation in the analysis was recorded in 2022 at 7.0%, based on March data. The increase was largely driven by supply-side shocks and higher global commodity prices following the Russia-Ukraine conflict. The RBI reported that food and beverages were the primary source of the inflation build-up in 2022-23, with higher global food prices, supply shortages and adverse weather conditions contributing significantly. Heat waves and uneven rainfall affected agricultural supply, while higher international energy prices increased fuel and transportation costs. This impact is also visible in the data: Rural YoY inflation increased from 4.6% in 2021 to 7.7% in 2022. The stronger rise in rural inflation is consistent with the significant role of food and agricultural supply shocks during this period.</t>
    </r>
  </si>
  <si>
    <r>
      <rPr>
        <b/>
        <u/>
        <sz val="10"/>
        <color theme="5"/>
        <rFont val="Arial"/>
        <family val="2"/>
      </rPr>
      <t>Insight:</t>
    </r>
    <r>
      <rPr>
        <sz val="11"/>
        <color theme="1"/>
        <rFont val="Calibri"/>
        <family val="2"/>
        <scheme val="minor"/>
      </rPr>
      <t xml:space="preserve"> The broader food bucket showed fluctuations during the 12 months ending May 2023. Month-on-month food inflation was highest in </t>
    </r>
    <r>
      <rPr>
        <b/>
        <sz val="11"/>
        <color theme="1"/>
        <rFont val="Calibri"/>
        <family val="2"/>
        <scheme val="minor"/>
      </rPr>
      <t>May 2023 at 0.79%</t>
    </r>
    <r>
      <rPr>
        <sz val="11"/>
        <color theme="1"/>
        <rFont val="Calibri"/>
        <family val="2"/>
        <scheme val="minor"/>
      </rPr>
      <t xml:space="preserve">, while the lowest was recorded in </t>
    </r>
    <r>
      <rPr>
        <b/>
        <sz val="11"/>
        <color theme="1"/>
        <rFont val="Calibri"/>
        <family val="2"/>
        <scheme val="minor"/>
      </rPr>
      <t>February 2023 at -0.73%</t>
    </r>
    <r>
      <rPr>
        <sz val="11"/>
        <color theme="1"/>
        <rFont val="Calibri"/>
        <family val="2"/>
        <scheme val="minor"/>
      </rPr>
      <t>. The negative value indicates a month-on-month decline in the overall food bucket index during February 2023.</t>
    </r>
  </si>
  <si>
    <r>
      <rPr>
        <b/>
        <u/>
        <sz val="11"/>
        <color rgb="FF6B0000"/>
        <rFont val="Arial"/>
        <family val="2"/>
      </rPr>
      <t>Insight:</t>
    </r>
    <r>
      <rPr>
        <sz val="11"/>
        <color theme="1"/>
        <rFont val="Calibri"/>
        <family val="2"/>
        <scheme val="minor"/>
      </rPr>
      <t xml:space="preserve"> Comparing June 2022 with May 2023, </t>
    </r>
    <r>
      <rPr>
        <b/>
        <sz val="11"/>
        <color theme="1"/>
        <rFont val="Calibri"/>
        <family val="2"/>
        <scheme val="minor"/>
      </rPr>
      <t>Spices recorded the highest positive inflation at 16.5%</t>
    </r>
    <r>
      <rPr>
        <sz val="11"/>
        <color theme="1"/>
        <rFont val="Calibri"/>
        <family val="2"/>
        <scheme val="minor"/>
      </rPr>
      <t xml:space="preserve">, followed by </t>
    </r>
    <r>
      <rPr>
        <b/>
        <sz val="11"/>
        <color theme="1"/>
        <rFont val="Calibri"/>
        <family val="2"/>
        <scheme val="minor"/>
      </rPr>
      <t>Cereals and products at 12.1%</t>
    </r>
    <r>
      <rPr>
        <sz val="11"/>
        <color theme="1"/>
        <rFont val="Calibri"/>
        <family val="2"/>
        <scheme val="minor"/>
      </rPr>
      <t xml:space="preserve"> and </t>
    </r>
    <r>
      <rPr>
        <b/>
        <sz val="11"/>
        <color theme="1"/>
        <rFont val="Calibri"/>
        <family val="2"/>
        <scheme val="minor"/>
      </rPr>
      <t>Milk and products at 8.3%</t>
    </r>
    <r>
      <rPr>
        <sz val="11"/>
        <color theme="1"/>
        <rFont val="Calibri"/>
        <family val="2"/>
        <scheme val="minor"/>
      </rPr>
      <t xml:space="preserve">. In contrast, </t>
    </r>
    <r>
      <rPr>
        <b/>
        <sz val="11"/>
        <color theme="1"/>
        <rFont val="Calibri"/>
        <family val="2"/>
        <scheme val="minor"/>
      </rPr>
      <t>Oils and fats declined by 15.4%</t>
    </r>
    <r>
      <rPr>
        <sz val="11"/>
        <color theme="1"/>
        <rFont val="Calibri"/>
        <family val="2"/>
        <scheme val="minor"/>
      </rPr>
      <t xml:space="preserve"> and </t>
    </r>
    <r>
      <rPr>
        <b/>
        <sz val="11"/>
        <color theme="1"/>
        <rFont val="Calibri"/>
        <family val="2"/>
        <scheme val="minor"/>
      </rPr>
      <t>Vegetables declined by 11.7%</t>
    </r>
    <r>
      <rPr>
        <sz val="11"/>
        <color theme="1"/>
        <rFont val="Calibri"/>
        <family val="2"/>
        <scheme val="minor"/>
      </rPr>
      <t xml:space="preserve"> over the same period. </t>
    </r>
    <r>
      <rPr>
        <b/>
        <sz val="11"/>
        <color theme="1"/>
        <rFont val="Calibri"/>
        <family val="2"/>
        <scheme val="minor"/>
      </rPr>
      <t>Spices were therefore the largest positive individual food-category contributor</t>
    </r>
    <r>
      <rPr>
        <sz val="11"/>
        <color theme="1"/>
        <rFont val="Calibri"/>
        <family val="2"/>
        <scheme val="minor"/>
      </rPr>
      <t xml:space="preserve"> in this analysis.</t>
    </r>
  </si>
  <si>
    <t>Monthly Food Bucket CPI and MoM Inflation (Jun-22 to May-23)</t>
  </si>
  <si>
    <t xml:space="preserve"> </t>
  </si>
  <si>
    <t>New Category</t>
  </si>
  <si>
    <t>Original CPI category</t>
  </si>
  <si>
    <t>Essential Services</t>
  </si>
  <si>
    <t>—</t>
  </si>
  <si>
    <t>Food MoM %</t>
  </si>
  <si>
    <t>Essential Services MoM %</t>
  </si>
  <si>
    <t>Health MoM %</t>
  </si>
  <si>
    <t>Period</t>
  </si>
  <si>
    <t>Feb'18</t>
  </si>
  <si>
    <t>Mar'18</t>
  </si>
  <si>
    <t>Apr'18</t>
  </si>
  <si>
    <t>May'18</t>
  </si>
  <si>
    <t>Jun'18</t>
  </si>
  <si>
    <t>Jul'18</t>
  </si>
  <si>
    <t>Aug'18</t>
  </si>
  <si>
    <t>Sep'18</t>
  </si>
  <si>
    <t>Oct'18</t>
  </si>
  <si>
    <t>Nov'18</t>
  </si>
  <si>
    <t>Dec'18</t>
  </si>
  <si>
    <t>Jan'19</t>
  </si>
  <si>
    <t>Feb'19</t>
  </si>
  <si>
    <t>Mar'19</t>
  </si>
  <si>
    <t>Apr'19</t>
  </si>
  <si>
    <t>May'19</t>
  </si>
  <si>
    <t>Jun'19</t>
  </si>
  <si>
    <t>Jul'19</t>
  </si>
  <si>
    <t>Aug'19</t>
  </si>
  <si>
    <t>Sep'19</t>
  </si>
  <si>
    <t>Oct'19</t>
  </si>
  <si>
    <t>Nov'19</t>
  </si>
  <si>
    <t>Dec'19</t>
  </si>
  <si>
    <t>Jan'20</t>
  </si>
  <si>
    <t>Feb'20</t>
  </si>
  <si>
    <t>Mar'20</t>
  </si>
  <si>
    <t>Apr'20</t>
  </si>
  <si>
    <t>May'20</t>
  </si>
  <si>
    <t>Jun'20</t>
  </si>
  <si>
    <t>Jul'20</t>
  </si>
  <si>
    <t>Aug'20</t>
  </si>
  <si>
    <t>Sep'20</t>
  </si>
  <si>
    <t>Oct'20</t>
  </si>
  <si>
    <t>Nov'20</t>
  </si>
  <si>
    <t>Dec'20</t>
  </si>
  <si>
    <t>Jan'21</t>
  </si>
  <si>
    <t>Feb'21</t>
  </si>
  <si>
    <t>Mar'21</t>
  </si>
  <si>
    <t>Apr'21</t>
  </si>
  <si>
    <t>May'21</t>
  </si>
  <si>
    <t>Jun'21</t>
  </si>
  <si>
    <t>Jul'21</t>
  </si>
  <si>
    <t>Aug'21</t>
  </si>
  <si>
    <t>Sep'21</t>
  </si>
  <si>
    <t>Oct'21</t>
  </si>
  <si>
    <t>Nov'21</t>
  </si>
  <si>
    <t>Dec'21</t>
  </si>
  <si>
    <t>Jan'22</t>
  </si>
  <si>
    <t>Feb'22</t>
  </si>
  <si>
    <t>Mar'22</t>
  </si>
  <si>
    <t>Pre-COVID Avg YoY</t>
  </si>
  <si>
    <t>Post-COVID Avg YoY</t>
  </si>
  <si>
    <t>Change</t>
  </si>
  <si>
    <t>Food YoY %</t>
  </si>
  <si>
    <t>Essential Services YoY %</t>
  </si>
  <si>
    <t>Health YoY %</t>
  </si>
  <si>
    <r>
      <t>Insight:</t>
    </r>
    <r>
      <rPr>
        <sz val="11"/>
        <color theme="1"/>
        <rFont val="Calibri"/>
        <family val="2"/>
        <scheme val="minor"/>
      </rPr>
      <t xml:space="preserve"> Following the onset of COVID-19 in March 2020, food inflation increased from an average of 4.86% to 8.19%, while essential-services inflation increased slightly from 2.73% to 2.98%. Health inflation decreased from 6.63% to 4.62%. This indicates that the pandemic affected different CPI categories differently, with the largest increase observed in food inflation.</t>
    </r>
  </si>
  <si>
    <t>Monthly CPI Inflation Analysis (Food, Essential Services &amp; Health)</t>
  </si>
  <si>
    <t>Category Mapping</t>
  </si>
  <si>
    <t>Pre- vs Post-COVID CPI Inflation Comparison</t>
  </si>
  <si>
    <t>Imported Crude Oil Price ($/bbl)</t>
  </si>
  <si>
    <t>Month-Year</t>
  </si>
  <si>
    <t>Crude Oil Price ($/bbl)</t>
  </si>
  <si>
    <t>Oil Price MoM %</t>
  </si>
  <si>
    <t>Source</t>
  </si>
  <si>
    <t>https://ppac.gov.in/prices/international-prices-of-crude-oil</t>
  </si>
  <si>
    <t>Area</t>
  </si>
  <si>
    <t>Correlation</t>
  </si>
  <si>
    <t>Original Category</t>
  </si>
  <si>
    <t>Analysis period: January 2021 to May 2023, based on the latest CPI data available in the provided dataset.</t>
  </si>
  <si>
    <t>Summary</t>
  </si>
  <si>
    <t>Imported Crude Oil Price and CPI Category Correlation Analysis</t>
  </si>
  <si>
    <r>
      <t>Insight:</t>
    </r>
    <r>
      <rPr>
        <sz val="12"/>
        <color theme="1"/>
        <rFont val="Calibri"/>
        <family val="2"/>
        <scheme val="minor"/>
      </rPr>
      <t xml:space="preserve"> The analysis examines the relationship between monthly crude oil prices and CPI category price indices from January 2021 to May 2023. Among the categories analysed, Oils and fats shows the strongest positive correlation with imported crude oil prices, with a correlation coefficient of 80.9%. This indicates a strong statistical association between the two series during the study period. However, correlation does not establish a causal relationship.</t>
    </r>
  </si>
  <si>
    <r>
      <t>1. Food</t>
    </r>
    <r>
      <rPr>
        <sz val="11"/>
        <color theme="1"/>
        <rFont val="Calibri"/>
        <family val="2"/>
        <scheme val="minor"/>
      </rPr>
      <t xml:space="preserve"> has the highest contribution to CPI across all three categories, accounting for approximately </t>
    </r>
    <r>
      <rPr>
        <b/>
        <sz val="11"/>
        <color theme="1"/>
        <rFont val="Calibri"/>
        <family val="2"/>
        <scheme val="minor"/>
      </rPr>
      <t>47% in Rural, 46% in Urban, and 45% in Rural + Urban</t>
    </r>
    <r>
      <rPr>
        <sz val="11"/>
        <color theme="1"/>
        <rFont val="Calibri"/>
        <family val="2"/>
        <scheme val="minor"/>
      </rPr>
      <t xml:space="preserve"> areas.</t>
    </r>
  </si>
  <si>
    <r>
      <t>2. Luxury</t>
    </r>
    <r>
      <rPr>
        <sz val="11"/>
        <color theme="1"/>
        <rFont val="Calibri"/>
        <family val="2"/>
        <scheme val="minor"/>
      </rPr>
      <t xml:space="preserve"> is the second-largest contributor, accounting for approximately </t>
    </r>
    <r>
      <rPr>
        <b/>
        <sz val="11"/>
        <color theme="1"/>
        <rFont val="Calibri"/>
        <family val="2"/>
        <scheme val="minor"/>
      </rPr>
      <t>17% in Rural, 16% in Urban, and 16% in Rural + Urban</t>
    </r>
    <r>
      <rPr>
        <sz val="11"/>
        <color theme="1"/>
        <rFont val="Calibri"/>
        <family val="2"/>
        <scheme val="minor"/>
      </rPr>
      <t xml:space="preserve"> areas.</t>
    </r>
  </si>
  <si>
    <r>
      <t>3. Clothing</t>
    </r>
    <r>
      <rPr>
        <sz val="11"/>
        <color theme="1"/>
        <rFont val="Calibri"/>
        <family val="2"/>
        <scheme val="minor"/>
      </rPr>
      <t xml:space="preserve"> contributes approximately </t>
    </r>
    <r>
      <rPr>
        <b/>
        <sz val="11"/>
        <color theme="1"/>
        <rFont val="Calibri"/>
        <family val="2"/>
        <scheme val="minor"/>
      </rPr>
      <t>13% in Rural, 11% in Urban, and 12% in Rural + Urban</t>
    </r>
    <r>
      <rPr>
        <sz val="11"/>
        <color theme="1"/>
        <rFont val="Calibri"/>
        <family val="2"/>
        <scheme val="minor"/>
      </rPr>
      <t xml:space="preserve"> areas.</t>
    </r>
  </si>
  <si>
    <r>
      <t>4. Housing</t>
    </r>
    <r>
      <rPr>
        <sz val="11"/>
        <color theme="1"/>
        <rFont val="Calibri"/>
        <family val="2"/>
        <scheme val="minor"/>
      </rPr>
      <t xml:space="preserve"> has a higher contribution in Urban areas (</t>
    </r>
    <r>
      <rPr>
        <b/>
        <sz val="11"/>
        <color theme="1"/>
        <rFont val="Calibri"/>
        <family val="2"/>
        <scheme val="minor"/>
      </rPr>
      <t>7%</t>
    </r>
    <r>
      <rPr>
        <sz val="11"/>
        <color theme="1"/>
        <rFont val="Calibri"/>
        <family val="2"/>
        <scheme val="minor"/>
      </rPr>
      <t>) compared with Rural areas (</t>
    </r>
    <r>
      <rPr>
        <b/>
        <sz val="11"/>
        <color theme="1"/>
        <rFont val="Calibri"/>
        <family val="2"/>
        <scheme val="minor"/>
      </rPr>
      <t>4%</t>
    </r>
    <r>
      <rPr>
        <sz val="11"/>
        <color theme="1"/>
        <rFont val="Calibri"/>
        <family val="2"/>
        <scheme val="minor"/>
      </rPr>
      <t xml:space="preserve">), while the Rural + Urban contribution is approximately </t>
    </r>
    <r>
      <rPr>
        <b/>
        <sz val="11"/>
        <color theme="1"/>
        <rFont val="Calibri"/>
        <family val="2"/>
        <scheme val="minor"/>
      </rPr>
      <t>8%</t>
    </r>
    <r>
      <rPr>
        <sz val="11"/>
        <color theme="1"/>
        <rFont val="Calibri"/>
        <family val="2"/>
        <scheme val="minor"/>
      </rPr>
      <t>.</t>
    </r>
  </si>
  <si>
    <r>
      <t>5. Fuel &amp; Light, Health, Transportation, Education, and Other Expenses</t>
    </r>
    <r>
      <rPr>
        <sz val="11"/>
        <color theme="1"/>
        <rFont val="Calibri"/>
        <family val="2"/>
        <scheme val="minor"/>
      </rPr>
      <t xml:space="preserve"> each have relatively smaller individual contributions, generally around </t>
    </r>
    <r>
      <rPr>
        <b/>
        <sz val="11"/>
        <color theme="1"/>
        <rFont val="Calibri"/>
        <family val="2"/>
        <scheme val="minor"/>
      </rPr>
      <t>4%</t>
    </r>
    <r>
      <rPr>
        <sz val="11"/>
        <color theme="1"/>
        <rFont val="Calibri"/>
        <family val="2"/>
        <scheme val="minor"/>
      </rPr>
      <t xml:space="preserve"> across the Rural, Urban, and Rural + Urban categories.</t>
    </r>
  </si>
  <si>
    <t>Insight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</si>
</sst>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4" x14ac:knownFonts="1">
    <font>
      <sz val="11"/>
      <color theme="1"/>
      <name val="Calibri"/>
      <family val="2"/>
      <scheme val="minor"/>
    </font>
    <font>
      <sz val="11"/>
      <color rgb="FFFF0000"/>
      <name val="Calibri"/>
      <family val="2"/>
      <scheme val="minor"/>
    </font>
    <font>
      <b/>
      <sz val="11"/>
      <name val="Calibri"/>
      <family val="2"/>
      <scheme val="minor"/>
    </font>
    <font>
      <sz val="1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9"/>
      <color theme="0"/>
      <name val="Calibri"/>
      <family val="2"/>
      <scheme val="minor"/>
    </font>
    <font>
      <b/>
      <sz val="22"/>
      <color theme="0"/>
      <name val="Calibri"/>
      <family val="2"/>
      <scheme val="minor"/>
    </font>
    <font>
      <b/>
      <u/>
      <sz val="16"/>
      <color theme="0"/>
      <name val="Calibri"/>
      <family val="2"/>
      <scheme val="minor"/>
    </font>
    <font>
      <b/>
      <u/>
      <sz val="14"/>
      <color theme="0"/>
      <name val="Calibri"/>
      <family val="2"/>
      <scheme val="minor"/>
    </font>
    <font>
      <b/>
      <u/>
      <sz val="10"/>
      <color theme="0"/>
      <name val="Arial"/>
      <family val="2"/>
    </font>
    <font>
      <sz val="11"/>
      <color theme="1"/>
      <name val="Arial"/>
      <family val="2"/>
    </font>
    <font>
      <b/>
      <sz val="11"/>
      <color theme="1"/>
      <name val="Aptos Display"/>
      <family val="2"/>
    </font>
    <font>
      <sz val="8"/>
      <color theme="1"/>
      <name val="Calibri"/>
      <family val="2"/>
      <scheme val="minor"/>
    </font>
    <font>
      <b/>
      <sz val="10"/>
      <color rgb="FFFFFF00"/>
      <name val="Bahnschrift"/>
      <family val="2"/>
    </font>
    <font>
      <b/>
      <sz val="11"/>
      <color theme="1"/>
      <name val="Arial"/>
      <family val="2"/>
    </font>
    <font>
      <b/>
      <u/>
      <sz val="11"/>
      <color theme="1"/>
      <name val="Arial Black"/>
      <family val="2"/>
    </font>
    <font>
      <b/>
      <u/>
      <sz val="10"/>
      <color theme="5"/>
      <name val="Arial"/>
      <family val="2"/>
    </font>
    <font>
      <b/>
      <u/>
      <sz val="11"/>
      <color rgb="FF6B0000"/>
      <name val="Arial"/>
      <family val="2"/>
    </font>
    <font>
      <b/>
      <sz val="16"/>
      <color theme="1"/>
      <name val="Calibri"/>
      <family val="2"/>
      <scheme val="minor"/>
    </font>
    <font>
      <sz val="12"/>
      <color theme="1"/>
      <name val="Calibri"/>
      <family val="2"/>
      <scheme val="minor"/>
    </font>
    <font>
      <sz val="28"/>
      <color theme="1"/>
      <name val="Calibri"/>
      <family val="2"/>
      <scheme val="minor"/>
    </font>
    <font>
      <b/>
      <sz val="20"/>
      <name val="Calibri"/>
      <family val="2"/>
      <scheme val="minor"/>
    </font>
    <font>
      <b/>
      <sz val="10"/>
      <color theme="1"/>
      <name val="Calibri"/>
      <family val="2"/>
      <scheme val="minor"/>
    </font>
    <font>
      <b/>
      <sz val="18"/>
      <color theme="1"/>
      <name val="Calibri"/>
      <family val="2"/>
      <scheme val="minor"/>
    </font>
    <font>
      <u/>
      <sz val="11"/>
      <color theme="10"/>
      <name val="Calibri"/>
      <family val="2"/>
      <scheme val="minor"/>
    </font>
    <font>
      <b/>
      <u/>
      <sz val="11"/>
      <color theme="1"/>
      <name val="Calibri"/>
      <family val="2"/>
      <scheme val="minor"/>
    </font>
    <font>
      <u/>
      <sz val="11"/>
      <color theme="1"/>
      <name val="Calibri"/>
      <family val="2"/>
      <scheme val="minor"/>
    </font>
    <font>
      <b/>
      <sz val="28"/>
      <color theme="1"/>
      <name val="Calibri"/>
      <family val="2"/>
      <scheme val="minor"/>
    </font>
    <font>
      <b/>
      <i/>
      <u/>
      <sz val="11"/>
      <color theme="1"/>
      <name val="Calibri"/>
      <family val="2"/>
      <scheme val="minor"/>
    </font>
    <font>
      <b/>
      <sz val="12"/>
      <color theme="1"/>
      <name val="Calibri"/>
      <family val="2"/>
      <scheme val="minor"/>
    </font>
    <font>
      <b/>
      <sz val="13.5"/>
      <color theme="1"/>
      <name val="Calibri"/>
      <family val="2"/>
      <scheme val="minor"/>
    </font>
  </fonts>
  <fills count="30">
    <fill>
      <patternFill patternType="none"/>
    </fill>
    <fill>
      <patternFill patternType="gray125"/>
    </fill>
    <fill>
      <patternFill patternType="solid">
        <fgColor theme="9" tint="0.79998168889431442"/>
        <bgColor theme="9" tint="0.79998168889431442"/>
      </patternFill>
    </fill>
    <fill>
      <patternFill patternType="solid">
        <fgColor theme="7"/>
        <bgColor indexed="64"/>
      </patternFill>
    </fill>
    <fill>
      <patternFill patternType="solid">
        <fgColor theme="5"/>
        <bgColor indexed="64"/>
      </patternFill>
    </fill>
    <fill>
      <patternFill patternType="solid">
        <fgColor theme="0"/>
        <bgColor indexed="64"/>
      </patternFill>
    </fill>
    <fill>
      <patternFill patternType="solid">
        <fgColor rgb="FFFF0000"/>
        <bgColor theme="9"/>
      </patternFill>
    </fill>
    <fill>
      <patternFill patternType="solid">
        <fgColor rgb="FFFF0000"/>
        <bgColor indexed="64"/>
      </patternFill>
    </fill>
    <fill>
      <patternFill patternType="solid">
        <fgColor rgb="FFFF0000"/>
        <bgColor theme="9" tint="0.79998168889431442"/>
      </patternFill>
    </fill>
    <fill>
      <patternFill patternType="solid">
        <fgColor theme="9"/>
        <bgColor theme="9"/>
      </patternFill>
    </fill>
    <fill>
      <patternFill patternType="solid">
        <fgColor theme="9" tint="0.79998168889431442"/>
        <bgColor indexed="64"/>
      </patternFill>
    </fill>
    <fill>
      <patternFill patternType="solid">
        <fgColor theme="7" tint="0.39997558519241921"/>
        <bgColor indexed="64"/>
      </patternFill>
    </fill>
    <fill>
      <patternFill patternType="solid">
        <fgColor theme="7" tint="0.39997558519241921"/>
        <bgColor theme="9" tint="0.79998168889431442"/>
      </patternFill>
    </fill>
    <fill>
      <patternFill patternType="solid">
        <fgColor theme="7" tint="0.79998168889431442"/>
        <bgColor indexed="64"/>
      </patternFill>
    </fill>
    <fill>
      <patternFill patternType="solid">
        <fgColor theme="7" tint="0.79998168889431442"/>
        <bgColor theme="9" tint="0.79998168889431442"/>
      </patternFill>
    </fill>
    <fill>
      <patternFill patternType="solid">
        <fgColor theme="8"/>
        <bgColor indexed="64"/>
      </patternFill>
    </fill>
    <fill>
      <patternFill patternType="solid">
        <fgColor theme="0" tint="-0.34998626667073579"/>
        <bgColor indexed="64"/>
      </patternFill>
    </fill>
    <fill>
      <patternFill patternType="solid">
        <fgColor theme="0" tint="-0.34998626667073579"/>
        <bgColor theme="9" tint="0.79998168889431442"/>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6"/>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9"/>
        <bgColor indexed="64"/>
      </patternFill>
    </fill>
  </fills>
  <borders count="51">
    <border>
      <left/>
      <right/>
      <top/>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diagonal/>
    </border>
  </borders>
  <cellStyleXfs count="3">
    <xf numFmtId="0" fontId="0" fillId="0" borderId="0"/>
    <xf numFmtId="9" fontId="4" fillId="0" borderId="0" applyFont="0" applyFill="0" applyBorder="0" applyAlignment="0" applyProtection="0"/>
    <xf numFmtId="0" fontId="27" fillId="0" borderId="0" applyNumberFormat="0" applyFill="0" applyBorder="0" applyAlignment="0" applyProtection="0"/>
  </cellStyleXfs>
  <cellXfs count="265">
    <xf numFmtId="0" fontId="0" fillId="0" borderId="0" xfId="0"/>
    <xf numFmtId="0" fontId="0" fillId="3" borderId="0" xfId="0" applyFill="1"/>
    <xf numFmtId="0" fontId="0" fillId="0" borderId="0" xfId="0" applyAlignment="1">
      <alignment wrapText="1"/>
    </xf>
    <xf numFmtId="0" fontId="0" fillId="2" borderId="1" xfId="0" applyFill="1" applyBorder="1"/>
    <xf numFmtId="0" fontId="0" fillId="0" borderId="1" xfId="0" applyBorder="1"/>
    <xf numFmtId="0" fontId="0" fillId="4" borderId="0" xfId="0" applyFill="1"/>
    <xf numFmtId="164" fontId="0" fillId="4" borderId="0" xfId="0" applyNumberFormat="1" applyFill="1"/>
    <xf numFmtId="164" fontId="0" fillId="0" borderId="0" xfId="0" applyNumberFormat="1"/>
    <xf numFmtId="164" fontId="0" fillId="3" borderId="0" xfId="0" applyNumberFormat="1" applyFill="1"/>
    <xf numFmtId="0" fontId="1" fillId="3" borderId="0" xfId="0" applyFont="1" applyFill="1"/>
    <xf numFmtId="0" fontId="0" fillId="5" borderId="2" xfId="0" applyFill="1" applyBorder="1"/>
    <xf numFmtId="0" fontId="6" fillId="0" borderId="0" xfId="0" applyFont="1"/>
    <xf numFmtId="0" fontId="6" fillId="2" borderId="12" xfId="0" applyFont="1" applyFill="1" applyBorder="1" applyAlignment="1">
      <alignment horizontal="center" vertical="center"/>
    </xf>
    <xf numFmtId="0" fontId="0" fillId="2" borderId="2" xfId="0" applyFill="1" applyBorder="1" applyAlignment="1">
      <alignment horizontal="center" vertical="center"/>
    </xf>
    <xf numFmtId="0" fontId="0" fillId="2" borderId="13" xfId="0" applyFill="1" applyBorder="1" applyAlignment="1">
      <alignment horizontal="center" vertical="center"/>
    </xf>
    <xf numFmtId="0" fontId="8" fillId="9" borderId="2" xfId="0" applyFont="1" applyFill="1" applyBorder="1" applyAlignment="1">
      <alignment horizontal="center" vertical="center" wrapText="1"/>
    </xf>
    <xf numFmtId="0" fontId="6" fillId="10" borderId="23" xfId="0" applyFont="1" applyFill="1" applyBorder="1" applyAlignment="1">
      <alignment horizontal="center" vertical="center"/>
    </xf>
    <xf numFmtId="0" fontId="0" fillId="10" borderId="11" xfId="0" applyFill="1" applyBorder="1" applyAlignment="1">
      <alignment horizontal="center" vertical="center"/>
    </xf>
    <xf numFmtId="0" fontId="0" fillId="10" borderId="24" xfId="0" applyFill="1" applyBorder="1" applyAlignment="1">
      <alignment horizontal="center" vertical="center"/>
    </xf>
    <xf numFmtId="0" fontId="6" fillId="10" borderId="14" xfId="0" applyFont="1" applyFill="1" applyBorder="1" applyAlignment="1">
      <alignment horizontal="center" vertical="center"/>
    </xf>
    <xf numFmtId="0" fontId="0" fillId="10" borderId="15" xfId="0" applyFill="1" applyBorder="1" applyAlignment="1">
      <alignment horizontal="center" vertical="center"/>
    </xf>
    <xf numFmtId="0" fontId="0" fillId="10" borderId="16" xfId="0" applyFill="1" applyBorder="1" applyAlignment="1">
      <alignment horizontal="center" vertical="center"/>
    </xf>
    <xf numFmtId="0" fontId="5" fillId="15" borderId="25" xfId="0" applyFont="1" applyFill="1" applyBorder="1" applyAlignment="1">
      <alignment horizontal="center"/>
    </xf>
    <xf numFmtId="0" fontId="5" fillId="16" borderId="20" xfId="0" applyFont="1" applyFill="1" applyBorder="1" applyAlignment="1">
      <alignment horizontal="center" vertical="center" wrapText="1"/>
    </xf>
    <xf numFmtId="0" fontId="5" fillId="16" borderId="21" xfId="0" applyFont="1" applyFill="1" applyBorder="1" applyAlignment="1">
      <alignment horizontal="center" vertical="center"/>
    </xf>
    <xf numFmtId="0" fontId="5" fillId="17" borderId="21" xfId="0" applyFont="1" applyFill="1" applyBorder="1" applyAlignment="1">
      <alignment horizontal="center" vertical="center"/>
    </xf>
    <xf numFmtId="0" fontId="5" fillId="16" borderId="22" xfId="0" applyFont="1" applyFill="1" applyBorder="1" applyAlignment="1">
      <alignment horizontal="center" vertical="center"/>
    </xf>
    <xf numFmtId="0" fontId="6" fillId="18" borderId="23" xfId="0" applyFont="1" applyFill="1" applyBorder="1" applyAlignment="1">
      <alignment horizontal="center" vertical="center"/>
    </xf>
    <xf numFmtId="0" fontId="0" fillId="18" borderId="11" xfId="0" applyFill="1" applyBorder="1" applyAlignment="1">
      <alignment horizontal="center" vertical="center"/>
    </xf>
    <xf numFmtId="9" fontId="0" fillId="18" borderId="11" xfId="1" applyFont="1" applyFill="1" applyBorder="1" applyAlignment="1">
      <alignment horizontal="center" vertical="center"/>
    </xf>
    <xf numFmtId="9" fontId="0" fillId="18" borderId="24" xfId="1" applyFont="1" applyFill="1" applyBorder="1" applyAlignment="1">
      <alignment horizontal="center" vertical="center"/>
    </xf>
    <xf numFmtId="0" fontId="6" fillId="18" borderId="12" xfId="0" applyFont="1" applyFill="1" applyBorder="1" applyAlignment="1">
      <alignment horizontal="center" vertical="center"/>
    </xf>
    <xf numFmtId="0" fontId="0" fillId="18" borderId="2" xfId="0" applyFill="1" applyBorder="1" applyAlignment="1">
      <alignment horizontal="center" vertical="center"/>
    </xf>
    <xf numFmtId="9" fontId="0" fillId="18" borderId="2" xfId="1" applyFont="1" applyFill="1" applyBorder="1" applyAlignment="1">
      <alignment horizontal="center" vertical="center"/>
    </xf>
    <xf numFmtId="9" fontId="0" fillId="18" borderId="13" xfId="1" applyFont="1" applyFill="1" applyBorder="1" applyAlignment="1">
      <alignment horizontal="center" vertical="center"/>
    </xf>
    <xf numFmtId="0" fontId="7" fillId="18" borderId="17" xfId="0" applyFont="1" applyFill="1" applyBorder="1" applyAlignment="1">
      <alignment horizontal="center" vertical="center"/>
    </xf>
    <xf numFmtId="0" fontId="1" fillId="18" borderId="18" xfId="0" applyFont="1" applyFill="1" applyBorder="1" applyAlignment="1">
      <alignment horizontal="center" vertical="center"/>
    </xf>
    <xf numFmtId="0" fontId="0" fillId="18" borderId="18" xfId="0" applyFill="1" applyBorder="1" applyAlignment="1">
      <alignment horizontal="center" vertical="center"/>
    </xf>
    <xf numFmtId="0" fontId="0" fillId="18" borderId="19" xfId="0" applyFill="1" applyBorder="1" applyAlignment="1">
      <alignment horizontal="center" vertical="center"/>
    </xf>
    <xf numFmtId="9" fontId="5" fillId="16" borderId="21" xfId="1" applyFont="1" applyFill="1" applyBorder="1" applyAlignment="1">
      <alignment horizontal="center" vertical="center"/>
    </xf>
    <xf numFmtId="9" fontId="5" fillId="17" borderId="21" xfId="1" applyFont="1" applyFill="1" applyBorder="1" applyAlignment="1">
      <alignment horizontal="center" vertical="center"/>
    </xf>
    <xf numFmtId="9" fontId="5" fillId="16" borderId="22" xfId="1" applyFont="1" applyFill="1" applyBorder="1" applyAlignment="1">
      <alignment horizontal="center" vertical="center"/>
    </xf>
    <xf numFmtId="0" fontId="0" fillId="13" borderId="11" xfId="0" applyFill="1" applyBorder="1" applyAlignment="1">
      <alignment horizontal="center"/>
    </xf>
    <xf numFmtId="0" fontId="0" fillId="14" borderId="11" xfId="0" applyFill="1" applyBorder="1" applyAlignment="1">
      <alignment horizontal="center"/>
    </xf>
    <xf numFmtId="0" fontId="0" fillId="13" borderId="2" xfId="0" applyFill="1" applyBorder="1" applyAlignment="1">
      <alignment horizontal="center"/>
    </xf>
    <xf numFmtId="0" fontId="0" fillId="14" borderId="2" xfId="0" applyFill="1" applyBorder="1" applyAlignment="1">
      <alignment horizontal="center"/>
    </xf>
    <xf numFmtId="0" fontId="6" fillId="0" borderId="0" xfId="0" applyFont="1" applyAlignment="1">
      <alignment horizontal="center" vertical="center" wrapText="1"/>
    </xf>
    <xf numFmtId="0" fontId="0" fillId="0" borderId="0" xfId="0" applyAlignment="1">
      <alignment vertical="center"/>
    </xf>
    <xf numFmtId="0" fontId="0" fillId="13" borderId="2" xfId="0" applyFill="1" applyBorder="1" applyAlignment="1">
      <alignment horizontal="center" vertical="center"/>
    </xf>
    <xf numFmtId="165" fontId="0" fillId="13" borderId="2" xfId="1" applyNumberFormat="1" applyFont="1" applyFill="1" applyBorder="1" applyAlignment="1">
      <alignment horizontal="center" vertical="center"/>
    </xf>
    <xf numFmtId="0" fontId="0" fillId="13" borderId="13" xfId="0" applyFill="1" applyBorder="1" applyAlignment="1">
      <alignment horizontal="center" vertical="center"/>
    </xf>
    <xf numFmtId="165" fontId="0" fillId="13" borderId="13" xfId="1" applyNumberFormat="1" applyFont="1" applyFill="1" applyBorder="1" applyAlignment="1">
      <alignment horizontal="center" vertical="center"/>
    </xf>
    <xf numFmtId="0" fontId="0" fillId="13" borderId="15" xfId="0" applyFill="1" applyBorder="1" applyAlignment="1">
      <alignment horizontal="center" vertical="center"/>
    </xf>
    <xf numFmtId="165" fontId="0" fillId="13" borderId="15" xfId="1" applyNumberFormat="1" applyFont="1" applyFill="1" applyBorder="1" applyAlignment="1">
      <alignment horizontal="center" vertical="center"/>
    </xf>
    <xf numFmtId="165" fontId="0" fillId="13" borderId="16" xfId="1" applyNumberFormat="1" applyFont="1" applyFill="1" applyBorder="1" applyAlignment="1">
      <alignment horizontal="center" vertical="center"/>
    </xf>
    <xf numFmtId="0" fontId="0" fillId="0" borderId="4" xfId="0" applyBorder="1" applyAlignment="1">
      <alignment wrapText="1"/>
    </xf>
    <xf numFmtId="0" fontId="10" fillId="16" borderId="26" xfId="0" applyFont="1" applyFill="1" applyBorder="1"/>
    <xf numFmtId="0" fontId="10" fillId="16" borderId="27" xfId="0" applyFont="1" applyFill="1" applyBorder="1"/>
    <xf numFmtId="0" fontId="12" fillId="19" borderId="23" xfId="0" applyFont="1" applyFill="1" applyBorder="1" applyAlignment="1">
      <alignment horizontal="center" vertical="center" wrapText="1"/>
    </xf>
    <xf numFmtId="0" fontId="12" fillId="19" borderId="11" xfId="0" applyFont="1" applyFill="1" applyBorder="1" applyAlignment="1">
      <alignment horizontal="center" vertical="center" wrapText="1"/>
    </xf>
    <xf numFmtId="0" fontId="12" fillId="19" borderId="24" xfId="0" applyFont="1" applyFill="1" applyBorder="1" applyAlignment="1">
      <alignment horizontal="center" vertical="center" wrapText="1"/>
    </xf>
    <xf numFmtId="0" fontId="11" fillId="16" borderId="27" xfId="0" applyFont="1" applyFill="1" applyBorder="1"/>
    <xf numFmtId="0" fontId="10" fillId="16" borderId="28" xfId="0" applyFont="1" applyFill="1" applyBorder="1"/>
    <xf numFmtId="0" fontId="6" fillId="13" borderId="29" xfId="0" applyFont="1" applyFill="1" applyBorder="1" applyAlignment="1">
      <alignment horizontal="center" wrapText="1"/>
    </xf>
    <xf numFmtId="0" fontId="6" fillId="13" borderId="30" xfId="0" applyFont="1" applyFill="1" applyBorder="1" applyAlignment="1">
      <alignment horizontal="center" wrapText="1"/>
    </xf>
    <xf numFmtId="0" fontId="6" fillId="13" borderId="32" xfId="0" applyFont="1" applyFill="1" applyBorder="1" applyAlignment="1">
      <alignment horizontal="center" wrapText="1"/>
    </xf>
    <xf numFmtId="0" fontId="14" fillId="3" borderId="20" xfId="0" applyFont="1" applyFill="1" applyBorder="1" applyAlignment="1">
      <alignment horizontal="center" wrapText="1"/>
    </xf>
    <xf numFmtId="0" fontId="0" fillId="0" borderId="31" xfId="0" applyBorder="1" applyAlignment="1">
      <alignment horizontal="center" wrapText="1"/>
    </xf>
    <xf numFmtId="17" fontId="14" fillId="3" borderId="33" xfId="0" applyNumberFormat="1" applyFont="1" applyFill="1" applyBorder="1" applyAlignment="1">
      <alignment horizontal="center" wrapText="1"/>
    </xf>
    <xf numFmtId="0" fontId="14" fillId="3" borderId="34" xfId="0" applyFont="1" applyFill="1" applyBorder="1" applyAlignment="1">
      <alignment horizontal="center" wrapText="1"/>
    </xf>
    <xf numFmtId="0" fontId="0" fillId="0" borderId="2" xfId="0" applyBorder="1" applyAlignment="1">
      <alignment horizontal="center" wrapText="1"/>
    </xf>
    <xf numFmtId="0" fontId="15" fillId="0" borderId="0" xfId="0" applyFont="1"/>
    <xf numFmtId="0" fontId="0" fillId="4" borderId="27" xfId="0" applyFill="1" applyBorder="1"/>
    <xf numFmtId="0" fontId="0" fillId="4" borderId="27" xfId="0" applyFill="1" applyBorder="1" applyAlignment="1">
      <alignment horizontal="left" vertical="center"/>
    </xf>
    <xf numFmtId="0" fontId="15" fillId="4" borderId="28" xfId="0" applyFont="1" applyFill="1" applyBorder="1"/>
    <xf numFmtId="165" fontId="0" fillId="0" borderId="13" xfId="1" applyNumberFormat="1" applyFont="1" applyBorder="1" applyAlignment="1">
      <alignment horizontal="center" wrapText="1"/>
    </xf>
    <xf numFmtId="165" fontId="0" fillId="0" borderId="10" xfId="1" applyNumberFormat="1" applyFont="1" applyBorder="1" applyAlignment="1">
      <alignment horizontal="center" wrapText="1"/>
    </xf>
    <xf numFmtId="0" fontId="3" fillId="5" borderId="0" xfId="0" applyFont="1" applyFill="1"/>
    <xf numFmtId="0" fontId="16" fillId="4" borderId="26" xfId="0" applyFont="1" applyFill="1" applyBorder="1" applyAlignment="1">
      <alignment horizontal="left" vertical="center" readingOrder="1"/>
    </xf>
    <xf numFmtId="0" fontId="6" fillId="13" borderId="35" xfId="0" applyFont="1" applyFill="1" applyBorder="1" applyAlignment="1">
      <alignment horizontal="center" vertical="center" wrapText="1"/>
    </xf>
    <xf numFmtId="0" fontId="6" fillId="13" borderId="36" xfId="0" applyFont="1" applyFill="1" applyBorder="1" applyAlignment="1">
      <alignment horizontal="center" vertical="center" wrapText="1"/>
    </xf>
    <xf numFmtId="0" fontId="0" fillId="0" borderId="12" xfId="0" applyBorder="1" applyAlignment="1">
      <alignment horizontal="center" vertical="center"/>
    </xf>
    <xf numFmtId="0" fontId="0" fillId="0" borderId="2"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6" fillId="0" borderId="13" xfId="0" applyFont="1" applyBorder="1" applyAlignment="1">
      <alignment horizontal="center" vertical="center"/>
    </xf>
    <xf numFmtId="10" fontId="6" fillId="0" borderId="13" xfId="1" applyNumberFormat="1" applyFont="1" applyBorder="1" applyAlignment="1">
      <alignment horizontal="center" vertical="center"/>
    </xf>
    <xf numFmtId="10" fontId="6" fillId="0" borderId="16" xfId="1" applyNumberFormat="1" applyFont="1" applyBorder="1" applyAlignment="1">
      <alignment horizontal="center" vertical="center"/>
    </xf>
    <xf numFmtId="0" fontId="6" fillId="0" borderId="0" xfId="0" applyFont="1" applyAlignment="1">
      <alignment wrapText="1"/>
    </xf>
    <xf numFmtId="0" fontId="0" fillId="3" borderId="26" xfId="0" applyFill="1" applyBorder="1"/>
    <xf numFmtId="0" fontId="0" fillId="3" borderId="27" xfId="0" applyFill="1" applyBorder="1"/>
    <xf numFmtId="0" fontId="21" fillId="3" borderId="27" xfId="0" applyFont="1" applyFill="1" applyBorder="1"/>
    <xf numFmtId="0" fontId="0" fillId="3" borderId="28" xfId="0" applyFill="1" applyBorder="1"/>
    <xf numFmtId="0" fontId="6" fillId="13" borderId="12" xfId="0" applyFont="1" applyFill="1" applyBorder="1" applyAlignment="1">
      <alignment horizontal="center" vertical="center"/>
    </xf>
    <xf numFmtId="0" fontId="6" fillId="13" borderId="14" xfId="0" applyFont="1" applyFill="1" applyBorder="1" applyAlignment="1">
      <alignment horizontal="center" vertical="center"/>
    </xf>
    <xf numFmtId="0" fontId="0" fillId="0" borderId="0" xfId="0" applyAlignment="1">
      <alignment vertical="center" wrapText="1"/>
    </xf>
    <xf numFmtId="0" fontId="0" fillId="0" borderId="0" xfId="0" applyAlignment="1">
      <alignment horizontal="right" vertical="center" wrapText="1"/>
    </xf>
    <xf numFmtId="0" fontId="6" fillId="0" borderId="0" xfId="0" applyFont="1" applyAlignment="1">
      <alignment horizontal="right" vertical="center" wrapText="1"/>
    </xf>
    <xf numFmtId="0" fontId="6" fillId="0" borderId="35" xfId="0" applyFont="1" applyBorder="1" applyAlignment="1">
      <alignment horizontal="center" vertical="center" wrapText="1"/>
    </xf>
    <xf numFmtId="0" fontId="6" fillId="0" borderId="38" xfId="0" applyFont="1" applyBorder="1" applyAlignment="1">
      <alignment horizontal="center" vertical="center" wrapText="1"/>
    </xf>
    <xf numFmtId="0" fontId="0" fillId="0" borderId="12" xfId="0" applyBorder="1" applyAlignment="1">
      <alignment vertical="center" wrapText="1"/>
    </xf>
    <xf numFmtId="0" fontId="6" fillId="0" borderId="13" xfId="0" applyFont="1" applyBorder="1" applyAlignment="1">
      <alignment vertical="center" wrapText="1"/>
    </xf>
    <xf numFmtId="0" fontId="6" fillId="0" borderId="12" xfId="0" applyFont="1"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16" xfId="0" applyBorder="1" applyAlignment="1">
      <alignment vertical="center" wrapText="1"/>
    </xf>
    <xf numFmtId="165" fontId="0" fillId="0" borderId="0" xfId="1" applyNumberFormat="1" applyFont="1" applyBorder="1"/>
    <xf numFmtId="0" fontId="23" fillId="0" borderId="0" xfId="0" applyFont="1"/>
    <xf numFmtId="0" fontId="24" fillId="20" borderId="27" xfId="0" applyFont="1" applyFill="1" applyBorder="1"/>
    <xf numFmtId="0" fontId="24" fillId="20" borderId="27" xfId="0" applyFont="1" applyFill="1" applyBorder="1" applyAlignment="1">
      <alignment horizontal="center" vertical="center" wrapText="1"/>
    </xf>
    <xf numFmtId="0" fontId="24" fillId="20" borderId="28" xfId="0" applyFont="1" applyFill="1" applyBorder="1" applyAlignment="1">
      <alignment horizontal="center" vertical="center" wrapText="1"/>
    </xf>
    <xf numFmtId="0" fontId="0" fillId="23" borderId="28" xfId="0" applyFill="1" applyBorder="1"/>
    <xf numFmtId="0" fontId="25" fillId="4" borderId="26" xfId="0" applyFont="1" applyFill="1" applyBorder="1"/>
    <xf numFmtId="0" fontId="25" fillId="4" borderId="27" xfId="0" applyFont="1" applyFill="1" applyBorder="1"/>
    <xf numFmtId="0" fontId="25" fillId="4" borderId="28" xfId="0" applyFont="1" applyFill="1" applyBorder="1"/>
    <xf numFmtId="0" fontId="0" fillId="24" borderId="12" xfId="0" applyFill="1" applyBorder="1" applyAlignment="1">
      <alignment horizontal="center" vertical="center"/>
    </xf>
    <xf numFmtId="0" fontId="0" fillId="24" borderId="2" xfId="0" applyFill="1" applyBorder="1" applyAlignment="1">
      <alignment horizontal="center" vertical="center"/>
    </xf>
    <xf numFmtId="0" fontId="0" fillId="24" borderId="2" xfId="0" applyFill="1" applyBorder="1" applyAlignment="1">
      <alignment horizontal="center" vertical="center" wrapText="1"/>
    </xf>
    <xf numFmtId="0" fontId="0" fillId="24" borderId="13" xfId="0" applyFill="1" applyBorder="1" applyAlignment="1">
      <alignment horizontal="center" vertical="center"/>
    </xf>
    <xf numFmtId="10" fontId="0" fillId="24" borderId="2" xfId="1" applyNumberFormat="1" applyFont="1" applyFill="1" applyBorder="1" applyAlignment="1">
      <alignment horizontal="center" vertical="center"/>
    </xf>
    <xf numFmtId="10" fontId="0" fillId="24" borderId="13" xfId="1" applyNumberFormat="1" applyFont="1" applyFill="1" applyBorder="1" applyAlignment="1">
      <alignment horizontal="center" vertical="center"/>
    </xf>
    <xf numFmtId="0" fontId="0" fillId="24" borderId="14" xfId="0" applyFill="1" applyBorder="1" applyAlignment="1">
      <alignment horizontal="center" vertical="center"/>
    </xf>
    <xf numFmtId="0" fontId="0" fillId="24" borderId="15" xfId="0" applyFill="1" applyBorder="1" applyAlignment="1">
      <alignment horizontal="center" vertical="center"/>
    </xf>
    <xf numFmtId="0" fontId="0" fillId="24" borderId="15" xfId="0" applyFill="1" applyBorder="1" applyAlignment="1">
      <alignment horizontal="center" vertical="center" wrapText="1"/>
    </xf>
    <xf numFmtId="10" fontId="0" fillId="24" borderId="15" xfId="1" applyNumberFormat="1" applyFont="1" applyFill="1" applyBorder="1" applyAlignment="1">
      <alignment horizontal="center" vertical="center"/>
    </xf>
    <xf numFmtId="10" fontId="0" fillId="24" borderId="16" xfId="1" applyNumberFormat="1" applyFont="1" applyFill="1" applyBorder="1" applyAlignment="1">
      <alignment horizontal="center" vertical="center"/>
    </xf>
    <xf numFmtId="0" fontId="0" fillId="24" borderId="11" xfId="0" applyFill="1" applyBorder="1" applyAlignment="1">
      <alignment horizontal="center" vertical="center"/>
    </xf>
    <xf numFmtId="0" fontId="0" fillId="24" borderId="11" xfId="0" applyFill="1" applyBorder="1" applyAlignment="1">
      <alignment horizontal="center" vertical="center" wrapText="1"/>
    </xf>
    <xf numFmtId="0" fontId="6" fillId="19" borderId="20" xfId="0" applyFont="1" applyFill="1" applyBorder="1" applyAlignment="1">
      <alignment horizontal="center" vertical="center" wrapText="1"/>
    </xf>
    <xf numFmtId="0" fontId="6" fillId="19" borderId="21" xfId="0" applyFont="1" applyFill="1" applyBorder="1" applyAlignment="1">
      <alignment horizontal="center" vertical="center" wrapText="1"/>
    </xf>
    <xf numFmtId="0" fontId="6" fillId="19" borderId="22" xfId="0" applyFont="1" applyFill="1" applyBorder="1" applyAlignment="1">
      <alignment horizontal="center" vertical="center" wrapText="1"/>
    </xf>
    <xf numFmtId="0" fontId="24" fillId="20" borderId="26" xfId="0" applyFont="1" applyFill="1" applyBorder="1"/>
    <xf numFmtId="0" fontId="0" fillId="24" borderId="23" xfId="0" applyFill="1" applyBorder="1" applyAlignment="1">
      <alignment horizontal="center" vertical="center"/>
    </xf>
    <xf numFmtId="0" fontId="0" fillId="24" borderId="24" xfId="0" applyFill="1" applyBorder="1" applyAlignment="1">
      <alignment horizontal="center" vertical="center"/>
    </xf>
    <xf numFmtId="0" fontId="26" fillId="23" borderId="26" xfId="0" applyFont="1" applyFill="1" applyBorder="1"/>
    <xf numFmtId="0" fontId="6" fillId="22" borderId="11" xfId="0" applyFont="1" applyFill="1" applyBorder="1" applyAlignment="1">
      <alignment horizontal="center" vertical="center" wrapText="1"/>
    </xf>
    <xf numFmtId="0" fontId="0" fillId="25" borderId="2" xfId="0" applyFill="1" applyBorder="1" applyAlignment="1">
      <alignment horizontal="center" vertical="center" wrapText="1"/>
    </xf>
    <xf numFmtId="10" fontId="0" fillId="25" borderId="2" xfId="0" applyNumberFormat="1" applyFill="1" applyBorder="1" applyAlignment="1">
      <alignment horizontal="center" vertical="center" wrapText="1"/>
    </xf>
    <xf numFmtId="17" fontId="0" fillId="0" borderId="0" xfId="0" applyNumberFormat="1"/>
    <xf numFmtId="0" fontId="0" fillId="24" borderId="40" xfId="0" applyFill="1" applyBorder="1" applyAlignment="1">
      <alignment horizontal="center" vertical="center" wrapText="1"/>
    </xf>
    <xf numFmtId="10" fontId="0" fillId="0" borderId="0" xfId="1" applyNumberFormat="1" applyFont="1"/>
    <xf numFmtId="0" fontId="28" fillId="0" borderId="26" xfId="0" applyFont="1" applyBorder="1"/>
    <xf numFmtId="0" fontId="29" fillId="0" borderId="27" xfId="0" applyFont="1" applyBorder="1"/>
    <xf numFmtId="0" fontId="29" fillId="0" borderId="28" xfId="0" applyFont="1" applyBorder="1"/>
    <xf numFmtId="0" fontId="27" fillId="0" borderId="27" xfId="2" applyBorder="1"/>
    <xf numFmtId="17" fontId="6" fillId="0" borderId="0" xfId="0" applyNumberFormat="1" applyFont="1" applyAlignment="1">
      <alignment horizontal="right" vertical="center" wrapText="1"/>
    </xf>
    <xf numFmtId="0" fontId="6" fillId="13" borderId="41" xfId="0" applyFont="1" applyFill="1" applyBorder="1" applyAlignment="1">
      <alignment horizontal="center"/>
    </xf>
    <xf numFmtId="0" fontId="6" fillId="13" borderId="42" xfId="0" applyFont="1" applyFill="1" applyBorder="1" applyAlignment="1">
      <alignment horizontal="center"/>
    </xf>
    <xf numFmtId="0" fontId="0" fillId="13" borderId="43" xfId="0" applyFill="1" applyBorder="1" applyAlignment="1">
      <alignment horizontal="center"/>
    </xf>
    <xf numFmtId="0" fontId="0" fillId="13" borderId="44" xfId="0" applyFill="1" applyBorder="1" applyAlignment="1">
      <alignment horizontal="center"/>
    </xf>
    <xf numFmtId="0" fontId="6" fillId="11" borderId="45" xfId="0" applyFont="1" applyFill="1" applyBorder="1" applyAlignment="1">
      <alignment horizontal="center"/>
    </xf>
    <xf numFmtId="0" fontId="6" fillId="11" borderId="46" xfId="0" applyFont="1" applyFill="1" applyBorder="1" applyAlignment="1">
      <alignment horizontal="center"/>
    </xf>
    <xf numFmtId="0" fontId="6" fillId="12" borderId="46" xfId="0" applyFont="1" applyFill="1" applyBorder="1" applyAlignment="1">
      <alignment horizontal="center"/>
    </xf>
    <xf numFmtId="0" fontId="6" fillId="11" borderId="47" xfId="0" applyFont="1" applyFill="1" applyBorder="1" applyAlignment="1">
      <alignment horizontal="center"/>
    </xf>
    <xf numFmtId="0" fontId="2" fillId="6" borderId="48" xfId="0" applyFont="1" applyFill="1" applyBorder="1" applyAlignment="1">
      <alignment horizontal="center"/>
    </xf>
    <xf numFmtId="0" fontId="3" fillId="7" borderId="18" xfId="0" applyFont="1" applyFill="1" applyBorder="1" applyAlignment="1">
      <alignment horizontal="center"/>
    </xf>
    <xf numFmtId="0" fontId="0" fillId="8" borderId="18" xfId="0" applyFill="1" applyBorder="1" applyAlignment="1">
      <alignment horizontal="center"/>
    </xf>
    <xf numFmtId="0" fontId="0" fillId="7" borderId="18" xfId="0" applyFill="1" applyBorder="1" applyAlignment="1">
      <alignment horizontal="center"/>
    </xf>
    <xf numFmtId="0" fontId="3" fillId="7" borderId="49" xfId="0" applyFont="1" applyFill="1" applyBorder="1" applyAlignment="1">
      <alignment horizontal="center"/>
    </xf>
    <xf numFmtId="2" fontId="6" fillId="0" borderId="0" xfId="0" applyNumberFormat="1" applyFont="1" applyAlignment="1">
      <alignment horizontal="right" vertical="center" wrapText="1"/>
    </xf>
    <xf numFmtId="2" fontId="0" fillId="0" borderId="0" xfId="0" applyNumberFormat="1"/>
    <xf numFmtId="10" fontId="0" fillId="0" borderId="0" xfId="0" applyNumberFormat="1" applyAlignment="1">
      <alignment vertical="center" wrapText="1"/>
    </xf>
    <xf numFmtId="0" fontId="6" fillId="26" borderId="3" xfId="0" applyFont="1" applyFill="1" applyBorder="1" applyAlignment="1">
      <alignment horizontal="center" vertical="center" wrapText="1"/>
    </xf>
    <xf numFmtId="0" fontId="6" fillId="26" borderId="4" xfId="0" applyFont="1" applyFill="1" applyBorder="1" applyAlignment="1">
      <alignment horizontal="center" vertical="center" wrapText="1"/>
    </xf>
    <xf numFmtId="0" fontId="6" fillId="26" borderId="5" xfId="0" applyFont="1" applyFill="1" applyBorder="1" applyAlignment="1">
      <alignment horizontal="center" vertical="center" wrapText="1"/>
    </xf>
    <xf numFmtId="0" fontId="0" fillId="26" borderId="8" xfId="0" applyFill="1" applyBorder="1" applyAlignment="1">
      <alignment horizontal="center" vertical="center" wrapText="1"/>
    </xf>
    <xf numFmtId="0" fontId="0" fillId="26" borderId="9" xfId="0" applyFill="1" applyBorder="1" applyAlignment="1">
      <alignment horizontal="center" vertical="center" wrapText="1"/>
    </xf>
    <xf numFmtId="165" fontId="0" fillId="26" borderId="10" xfId="0" applyNumberFormat="1" applyFill="1" applyBorder="1" applyAlignment="1">
      <alignment horizontal="center" vertical="center" wrapText="1"/>
    </xf>
    <xf numFmtId="0" fontId="23" fillId="15" borderId="0" xfId="0" applyFont="1" applyFill="1"/>
    <xf numFmtId="0" fontId="30" fillId="15" borderId="0" xfId="0" applyFont="1" applyFill="1" applyAlignment="1">
      <alignment horizontal="center" vertical="center" wrapText="1"/>
    </xf>
    <xf numFmtId="2" fontId="23" fillId="15" borderId="0" xfId="0" applyNumberFormat="1" applyFont="1" applyFill="1"/>
    <xf numFmtId="0" fontId="6" fillId="27" borderId="50" xfId="0" applyFont="1" applyFill="1" applyBorder="1" applyAlignment="1">
      <alignment vertical="center" wrapText="1"/>
    </xf>
    <xf numFmtId="0" fontId="6" fillId="27" borderId="33" xfId="0" applyFont="1" applyFill="1" applyBorder="1" applyAlignment="1">
      <alignment vertical="center" wrapText="1"/>
    </xf>
    <xf numFmtId="2" fontId="6" fillId="27" borderId="33" xfId="0" applyNumberFormat="1" applyFont="1" applyFill="1" applyBorder="1" applyAlignment="1">
      <alignment vertical="center" wrapText="1"/>
    </xf>
    <xf numFmtId="17" fontId="6" fillId="27" borderId="33" xfId="0" applyNumberFormat="1" applyFont="1" applyFill="1" applyBorder="1" applyAlignment="1">
      <alignment vertical="center" wrapText="1"/>
    </xf>
    <xf numFmtId="0" fontId="0" fillId="27" borderId="21" xfId="0" applyFill="1" applyBorder="1"/>
    <xf numFmtId="0" fontId="0" fillId="28" borderId="35" xfId="0" applyFill="1" applyBorder="1" applyAlignment="1">
      <alignment wrapText="1"/>
    </xf>
    <xf numFmtId="0" fontId="0" fillId="28" borderId="37" xfId="0" applyFill="1" applyBorder="1" applyAlignment="1">
      <alignment wrapText="1"/>
    </xf>
    <xf numFmtId="165" fontId="0" fillId="28" borderId="37" xfId="1" applyNumberFormat="1" applyFont="1" applyFill="1" applyBorder="1"/>
    <xf numFmtId="0" fontId="0" fillId="28" borderId="37" xfId="0" applyFill="1" applyBorder="1"/>
    <xf numFmtId="0" fontId="0" fillId="28" borderId="38" xfId="0" applyFill="1" applyBorder="1"/>
    <xf numFmtId="0" fontId="0" fillId="28" borderId="0" xfId="0" applyFill="1"/>
    <xf numFmtId="0" fontId="0" fillId="28" borderId="12" xfId="0" applyFill="1" applyBorder="1" applyAlignment="1">
      <alignment wrapText="1"/>
    </xf>
    <xf numFmtId="0" fontId="0" fillId="28" borderId="2" xfId="0" applyFill="1" applyBorder="1" applyAlignment="1">
      <alignment wrapText="1"/>
    </xf>
    <xf numFmtId="165" fontId="0" fillId="28" borderId="2" xfId="1" applyNumberFormat="1" applyFont="1" applyFill="1" applyBorder="1"/>
    <xf numFmtId="0" fontId="0" fillId="28" borderId="2" xfId="0" applyFill="1" applyBorder="1"/>
    <xf numFmtId="0" fontId="0" fillId="28" borderId="13" xfId="0" applyFill="1" applyBorder="1"/>
    <xf numFmtId="0" fontId="0" fillId="28" borderId="14" xfId="0" applyFill="1" applyBorder="1" applyAlignment="1">
      <alignment wrapText="1"/>
    </xf>
    <xf numFmtId="0" fontId="0" fillId="28" borderId="15" xfId="0" applyFill="1" applyBorder="1" applyAlignment="1">
      <alignment wrapText="1"/>
    </xf>
    <xf numFmtId="165" fontId="0" fillId="28" borderId="15" xfId="1" applyNumberFormat="1" applyFont="1" applyFill="1" applyBorder="1"/>
    <xf numFmtId="0" fontId="0" fillId="28" borderId="15" xfId="0" applyFill="1" applyBorder="1"/>
    <xf numFmtId="0" fontId="0" fillId="28" borderId="16" xfId="0" applyFill="1" applyBorder="1"/>
    <xf numFmtId="0" fontId="6" fillId="3" borderId="0" xfId="0" applyFont="1" applyFill="1"/>
    <xf numFmtId="0" fontId="6" fillId="3" borderId="0" xfId="0" applyFont="1" applyFill="1" applyAlignment="1">
      <alignment vertical="center" wrapText="1"/>
    </xf>
    <xf numFmtId="9" fontId="6" fillId="3" borderId="0" xfId="0" applyNumberFormat="1" applyFont="1" applyFill="1" applyAlignment="1">
      <alignment horizontal="right" vertical="center" wrapText="1"/>
    </xf>
    <xf numFmtId="2" fontId="6" fillId="3" borderId="0" xfId="0" applyNumberFormat="1" applyFont="1" applyFill="1" applyAlignment="1">
      <alignment horizontal="right" vertical="center" wrapText="1"/>
    </xf>
    <xf numFmtId="0" fontId="6" fillId="3" borderId="0" xfId="0" applyFont="1" applyFill="1" applyAlignment="1">
      <alignment horizontal="right" vertical="center" wrapText="1"/>
    </xf>
    <xf numFmtId="0" fontId="6" fillId="29" borderId="35" xfId="0" applyFont="1" applyFill="1" applyBorder="1" applyAlignment="1">
      <alignment horizontal="center" vertical="center" wrapText="1"/>
    </xf>
    <xf numFmtId="0" fontId="6" fillId="29" borderId="37" xfId="0" applyFont="1" applyFill="1" applyBorder="1" applyAlignment="1">
      <alignment horizontal="center" vertical="center" wrapText="1"/>
    </xf>
    <xf numFmtId="0" fontId="6" fillId="29" borderId="38" xfId="0" applyFont="1" applyFill="1" applyBorder="1" applyAlignment="1">
      <alignment horizontal="right" vertical="center" wrapText="1"/>
    </xf>
    <xf numFmtId="17" fontId="0" fillId="10" borderId="12" xfId="0" applyNumberFormat="1" applyFill="1" applyBorder="1"/>
    <xf numFmtId="0" fontId="0" fillId="10" borderId="2" xfId="0" applyFill="1" applyBorder="1"/>
    <xf numFmtId="0" fontId="0" fillId="10" borderId="13" xfId="0" applyFill="1" applyBorder="1"/>
    <xf numFmtId="10" fontId="0" fillId="10" borderId="13" xfId="1" applyNumberFormat="1" applyFont="1" applyFill="1" applyBorder="1"/>
    <xf numFmtId="17" fontId="0" fillId="10" borderId="14" xfId="0" applyNumberFormat="1" applyFill="1" applyBorder="1"/>
    <xf numFmtId="0" fontId="0" fillId="10" borderId="15" xfId="0" applyFill="1" applyBorder="1"/>
    <xf numFmtId="10" fontId="0" fillId="10" borderId="16" xfId="1" applyNumberFormat="1" applyFont="1" applyFill="1" applyBorder="1"/>
    <xf numFmtId="0" fontId="31" fillId="4" borderId="39" xfId="0" applyFont="1" applyFill="1" applyBorder="1" applyAlignment="1">
      <alignment wrapText="1"/>
    </xf>
    <xf numFmtId="0" fontId="0" fillId="5" borderId="0" xfId="0" applyFill="1"/>
    <xf numFmtId="0" fontId="0" fillId="5" borderId="0" xfId="0" applyFill="1" applyAlignment="1">
      <alignment horizontal="right" vertical="center" wrapText="1"/>
    </xf>
    <xf numFmtId="0" fontId="28" fillId="0" borderId="0" xfId="0" applyFont="1" applyAlignment="1">
      <alignment horizontal="center" vertical="center" wrapText="1"/>
    </xf>
    <xf numFmtId="0" fontId="13" fillId="3" borderId="3" xfId="0" applyFont="1" applyFill="1" applyBorder="1" applyAlignment="1">
      <alignment horizontal="center" wrapText="1"/>
    </xf>
    <xf numFmtId="0" fontId="13" fillId="3" borderId="4" xfId="0" applyFont="1" applyFill="1" applyBorder="1" applyAlignment="1">
      <alignment horizontal="center" wrapText="1"/>
    </xf>
    <xf numFmtId="0" fontId="13" fillId="3" borderId="5" xfId="0" applyFont="1" applyFill="1" applyBorder="1" applyAlignment="1">
      <alignment horizontal="center" wrapText="1"/>
    </xf>
    <xf numFmtId="0" fontId="13" fillId="3" borderId="6" xfId="0" applyFont="1" applyFill="1" applyBorder="1" applyAlignment="1">
      <alignment horizontal="center" wrapText="1"/>
    </xf>
    <xf numFmtId="0" fontId="13" fillId="3" borderId="0" xfId="0" applyFont="1" applyFill="1" applyAlignment="1">
      <alignment horizontal="center" wrapText="1"/>
    </xf>
    <xf numFmtId="0" fontId="13" fillId="3" borderId="7" xfId="0" applyFont="1" applyFill="1" applyBorder="1" applyAlignment="1">
      <alignment horizontal="center" wrapText="1"/>
    </xf>
    <xf numFmtId="0" fontId="13" fillId="3" borderId="8" xfId="0" applyFont="1" applyFill="1" applyBorder="1" applyAlignment="1">
      <alignment horizontal="center" wrapText="1"/>
    </xf>
    <xf numFmtId="0" fontId="13" fillId="3" borderId="9" xfId="0" applyFont="1" applyFill="1" applyBorder="1" applyAlignment="1">
      <alignment horizontal="center" wrapText="1"/>
    </xf>
    <xf numFmtId="0" fontId="13" fillId="3" borderId="10" xfId="0" applyFont="1" applyFill="1" applyBorder="1" applyAlignment="1">
      <alignment horizontal="center" wrapText="1"/>
    </xf>
    <xf numFmtId="0" fontId="9" fillId="20" borderId="3" xfId="0" applyFont="1" applyFill="1" applyBorder="1" applyAlignment="1">
      <alignment horizontal="center" vertical="center" wrapText="1"/>
    </xf>
    <xf numFmtId="0" fontId="9" fillId="20" borderId="4" xfId="0" applyFont="1" applyFill="1" applyBorder="1" applyAlignment="1">
      <alignment horizontal="center" vertical="center" wrapText="1"/>
    </xf>
    <xf numFmtId="0" fontId="9" fillId="20" borderId="5" xfId="0" applyFont="1" applyFill="1" applyBorder="1" applyAlignment="1">
      <alignment horizontal="center" vertical="center" wrapText="1"/>
    </xf>
    <xf numFmtId="0" fontId="9" fillId="20" borderId="6" xfId="0" applyFont="1" applyFill="1" applyBorder="1" applyAlignment="1">
      <alignment horizontal="center" vertical="center" wrapText="1"/>
    </xf>
    <xf numFmtId="0" fontId="9" fillId="20" borderId="0" xfId="0" applyFont="1" applyFill="1" applyAlignment="1">
      <alignment horizontal="center" vertical="center" wrapText="1"/>
    </xf>
    <xf numFmtId="0" fontId="9" fillId="20" borderId="7" xfId="0" applyFont="1" applyFill="1" applyBorder="1" applyAlignment="1">
      <alignment horizontal="center" vertical="center" wrapText="1"/>
    </xf>
    <xf numFmtId="0" fontId="9" fillId="20" borderId="8" xfId="0" applyFont="1" applyFill="1" applyBorder="1" applyAlignment="1">
      <alignment horizontal="center" vertical="center" wrapText="1"/>
    </xf>
    <xf numFmtId="0" fontId="9" fillId="20" borderId="9" xfId="0" applyFont="1" applyFill="1" applyBorder="1" applyAlignment="1">
      <alignment horizontal="center" vertical="center" wrapText="1"/>
    </xf>
    <xf numFmtId="0" fontId="9" fillId="20" borderId="10" xfId="0" applyFont="1" applyFill="1" applyBorder="1" applyAlignment="1">
      <alignment horizontal="center" vertical="center" wrapText="1"/>
    </xf>
    <xf numFmtId="0" fontId="6" fillId="21" borderId="3" xfId="0" applyFont="1" applyFill="1" applyBorder="1" applyAlignment="1">
      <alignment horizontal="center" wrapText="1"/>
    </xf>
    <xf numFmtId="0" fontId="6" fillId="21" borderId="4" xfId="0" applyFont="1" applyFill="1" applyBorder="1" applyAlignment="1">
      <alignment horizontal="center" wrapText="1"/>
    </xf>
    <xf numFmtId="0" fontId="6" fillId="21" borderId="5" xfId="0" applyFont="1" applyFill="1" applyBorder="1" applyAlignment="1">
      <alignment horizontal="center" wrapText="1"/>
    </xf>
    <xf numFmtId="0" fontId="6" fillId="21" borderId="6" xfId="0" applyFont="1" applyFill="1" applyBorder="1" applyAlignment="1">
      <alignment horizontal="center" wrapText="1"/>
    </xf>
    <xf numFmtId="0" fontId="6" fillId="21" borderId="0" xfId="0" applyFont="1" applyFill="1" applyAlignment="1">
      <alignment horizontal="center" wrapText="1"/>
    </xf>
    <xf numFmtId="0" fontId="6" fillId="21" borderId="7" xfId="0" applyFont="1" applyFill="1" applyBorder="1" applyAlignment="1">
      <alignment horizontal="center" wrapText="1"/>
    </xf>
    <xf numFmtId="0" fontId="6" fillId="21" borderId="8" xfId="0" applyFont="1" applyFill="1" applyBorder="1" applyAlignment="1">
      <alignment horizontal="center" wrapText="1"/>
    </xf>
    <xf numFmtId="0" fontId="6" fillId="21" borderId="9" xfId="0" applyFont="1" applyFill="1" applyBorder="1" applyAlignment="1">
      <alignment horizontal="center" wrapText="1"/>
    </xf>
    <xf numFmtId="0" fontId="6" fillId="21" borderId="10" xfId="0" applyFont="1" applyFill="1" applyBorder="1" applyAlignment="1">
      <alignment horizontal="center" wrapText="1"/>
    </xf>
    <xf numFmtId="0" fontId="32" fillId="3" borderId="3" xfId="0" applyFont="1" applyFill="1" applyBorder="1" applyAlignment="1">
      <alignment horizontal="center" vertical="center" wrapText="1"/>
    </xf>
    <xf numFmtId="0" fontId="32" fillId="3" borderId="4" xfId="0" applyFont="1" applyFill="1" applyBorder="1" applyAlignment="1">
      <alignment horizontal="center" vertical="center" wrapText="1"/>
    </xf>
    <xf numFmtId="0" fontId="32" fillId="3" borderId="5" xfId="0" applyFont="1" applyFill="1" applyBorder="1" applyAlignment="1">
      <alignment horizontal="center" vertical="center" wrapText="1"/>
    </xf>
    <xf numFmtId="0" fontId="32" fillId="3" borderId="6" xfId="0" applyFont="1" applyFill="1" applyBorder="1" applyAlignment="1">
      <alignment horizontal="center" vertical="center" wrapText="1"/>
    </xf>
    <xf numFmtId="0" fontId="32" fillId="3" borderId="0" xfId="0" applyFont="1" applyFill="1" applyAlignment="1">
      <alignment horizontal="center" vertical="center" wrapText="1"/>
    </xf>
    <xf numFmtId="0" fontId="32" fillId="3" borderId="7" xfId="0" applyFont="1" applyFill="1" applyBorder="1" applyAlignment="1">
      <alignment horizontal="center" vertical="center" wrapText="1"/>
    </xf>
    <xf numFmtId="0" fontId="32" fillId="3" borderId="8" xfId="0" applyFont="1" applyFill="1" applyBorder="1" applyAlignment="1">
      <alignment horizontal="center" vertical="center" wrapText="1"/>
    </xf>
    <xf numFmtId="0" fontId="32" fillId="3" borderId="9" xfId="0" applyFont="1" applyFill="1" applyBorder="1" applyAlignment="1">
      <alignment horizontal="center" vertical="center" wrapText="1"/>
    </xf>
    <xf numFmtId="0" fontId="32" fillId="3" borderId="10" xfId="0" applyFont="1" applyFill="1" applyBorder="1" applyAlignment="1">
      <alignment horizontal="center" vertical="center" wrapText="1"/>
    </xf>
    <xf numFmtId="0" fontId="33" fillId="3" borderId="3" xfId="0" applyFont="1" applyFill="1" applyBorder="1" applyAlignment="1">
      <alignment vertical="center"/>
    </xf>
    <xf numFmtId="0" fontId="0" fillId="3" borderId="4" xfId="0" applyFill="1" applyBorder="1"/>
    <xf numFmtId="0" fontId="0" fillId="3" borderId="5" xfId="0" applyFill="1" applyBorder="1"/>
    <xf numFmtId="0" fontId="0" fillId="3" borderId="6" xfId="0" applyFill="1" applyBorder="1" applyAlignment="1">
      <alignment horizontal="left" vertical="center" indent="1"/>
    </xf>
    <xf numFmtId="0" fontId="0" fillId="3" borderId="7" xfId="0" applyFill="1" applyBorder="1"/>
    <xf numFmtId="0" fontId="6" fillId="3" borderId="6" xfId="0" applyFont="1" applyFill="1" applyBorder="1" applyAlignment="1">
      <alignment horizontal="left" vertical="center" indent="1"/>
    </xf>
    <xf numFmtId="0" fontId="6" fillId="3" borderId="8" xfId="0" applyFont="1" applyFill="1" applyBorder="1" applyAlignment="1">
      <alignment horizontal="left" vertical="center" indent="1"/>
    </xf>
    <xf numFmtId="0" fontId="0" fillId="3" borderId="9" xfId="0" applyFill="1" applyBorder="1"/>
    <xf numFmtId="0" fontId="0" fillId="3" borderId="10" xfId="0" applyFill="1" applyBorder="1"/>
    <xf numFmtId="0" fontId="6" fillId="3" borderId="3" xfId="0" applyFont="1" applyFill="1" applyBorder="1" applyAlignment="1">
      <alignment horizontal="center" wrapText="1"/>
    </xf>
    <xf numFmtId="0" fontId="6" fillId="3" borderId="4" xfId="0" applyFont="1" applyFill="1" applyBorder="1" applyAlignment="1">
      <alignment horizontal="center" wrapText="1"/>
    </xf>
    <xf numFmtId="0" fontId="6" fillId="3" borderId="5" xfId="0" applyFont="1" applyFill="1" applyBorder="1" applyAlignment="1">
      <alignment horizontal="center" wrapText="1"/>
    </xf>
    <xf numFmtId="0" fontId="6" fillId="3" borderId="6" xfId="0" applyFont="1" applyFill="1" applyBorder="1" applyAlignment="1">
      <alignment horizontal="center" wrapText="1"/>
    </xf>
    <xf numFmtId="0" fontId="6" fillId="3" borderId="0" xfId="0" applyFont="1" applyFill="1" applyAlignment="1">
      <alignment horizontal="center" wrapText="1"/>
    </xf>
    <xf numFmtId="0" fontId="6" fillId="3" borderId="7" xfId="0" applyFont="1" applyFill="1" applyBorder="1" applyAlignment="1">
      <alignment horizontal="center" wrapText="1"/>
    </xf>
    <xf numFmtId="0" fontId="6" fillId="3" borderId="8"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cellXfs>
  <cellStyles count="3">
    <cellStyle name="Hyperlink" xfId="2" builtinId="8"/>
    <cellStyle name="Normal" xfId="0" builtinId="0"/>
    <cellStyle name="Percent" xfId="1" builtinId="5"/>
  </cellStyles>
  <dxfs count="12">
    <dxf>
      <numFmt numFmtId="0" formatCode="General"/>
    </dxf>
    <dxf>
      <numFmt numFmtId="0" formatCode="General"/>
    </dxf>
    <dxf>
      <numFmt numFmtId="0" formatCode="General"/>
    </dxf>
    <dxf>
      <numFmt numFmtId="0" formatCode="General"/>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9" tint="0.79998168889431442"/>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bg1"/>
                </a:solidFill>
              </a:rPr>
              <a:t>Rural CPI Contribution</a:t>
            </a:r>
            <a:endParaRPr lang="en-US" b="1">
              <a:solidFill>
                <a:schemeClr val="bg1"/>
              </a:solidFill>
            </a:endParaRPr>
          </a:p>
        </c:rich>
      </c:tx>
      <c:overlay val="0"/>
      <c:spPr>
        <a:solidFill>
          <a:srgbClr val="00B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'1.CPI Contribution Analysis'!$L$10</c:f>
              <c:strCache>
                <c:ptCount val="1"/>
                <c:pt idx="0">
                  <c:v>Rural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2-8D14-4C84-9AF3-BBAF5EE9F5E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601-4216-B5DA-F35B4835C88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2601-4216-B5DA-F35B4835C88B}"/>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2601-4216-B5DA-F35B4835C88B}"/>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2601-4216-B5DA-F35B4835C88B}"/>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2601-4216-B5DA-F35B4835C88B}"/>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1-8D14-4C84-9AF3-BBAF5EE9F5ED}"/>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2601-4216-B5DA-F35B4835C88B}"/>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3-8D14-4C84-9AF3-BBAF5EE9F5ED}"/>
              </c:ext>
            </c:extLst>
          </c:dPt>
          <c:dLbls>
            <c:dLbl>
              <c:idx val="0"/>
              <c:tx>
                <c:rich>
                  <a:bodyPr rot="0" spcFirstLastPara="1" vertOverflow="ellipsis" vert="horz" wrap="square" lIns="38100" tIns="19050" rIns="38100" bIns="19050" anchor="ctr" anchorCtr="1">
                    <a:spAutoFit/>
                  </a:bodyPr>
                  <a:lstStyle/>
                  <a:p>
                    <a:pPr>
                      <a:defRPr sz="2000" b="1" i="0" u="sng" strike="noStrike" kern="1200" baseline="0">
                        <a:solidFill>
                          <a:srgbClr val="FFFF00"/>
                        </a:solidFill>
                        <a:latin typeface="+mn-lt"/>
                        <a:ea typeface="+mn-ea"/>
                        <a:cs typeface="+mn-cs"/>
                      </a:defRPr>
                    </a:pPr>
                    <a:fld id="{99EF54E8-E174-4199-9B12-19CA274A0D8E}" type="VALUE">
                      <a:rPr lang="en-US" sz="1600"/>
                      <a:pPr>
                        <a:defRPr sz="2000" b="1" u="sng">
                          <a:solidFill>
                            <a:srgbClr val="FFFF00"/>
                          </a:solidFill>
                        </a:defRPr>
                      </a:pPr>
                      <a:t>[VALUE]</a:t>
                    </a:fld>
                    <a:endParaRPr lang="en-IN"/>
                  </a:p>
                </c:rich>
              </c:tx>
              <c:spPr>
                <a:noFill/>
                <a:ln>
                  <a:noFill/>
                </a:ln>
                <a:effectLst>
                  <a:glow rad="1905000">
                    <a:schemeClr val="accent1">
                      <a:alpha val="40000"/>
                    </a:schemeClr>
                  </a:glow>
                </a:effectLst>
              </c:spPr>
              <c:txPr>
                <a:bodyPr rot="0" spcFirstLastPara="1" vertOverflow="ellipsis" vert="horz" wrap="square" lIns="38100" tIns="19050" rIns="38100" bIns="19050" anchor="ctr" anchorCtr="1">
                  <a:spAutoFit/>
                </a:bodyPr>
                <a:lstStyle/>
                <a:p>
                  <a:pPr>
                    <a:defRPr sz="2000" b="1" i="0" u="sng" strike="noStrike" kern="1200" baseline="0">
                      <a:solidFill>
                        <a:srgbClr val="FFFF00"/>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D14-4C84-9AF3-BBAF5EE9F5ED}"/>
                </c:ext>
              </c:extLst>
            </c:dLbl>
            <c:dLbl>
              <c:idx val="8"/>
              <c:spPr>
                <a:noFill/>
                <a:ln>
                  <a:noFill/>
                </a:ln>
                <a:effectLst>
                  <a:glow rad="1905000">
                    <a:schemeClr val="accent1">
                      <a:alpha val="40000"/>
                    </a:schemeClr>
                  </a:glow>
                </a:effectLst>
              </c:spPr>
              <c:txPr>
                <a:bodyPr rot="0" spcFirstLastPara="1" vertOverflow="ellipsis" vert="horz" wrap="square" lIns="38100" tIns="19050" rIns="38100" bIns="19050" anchor="ctr" anchorCtr="1">
                  <a:spAutoFit/>
                </a:bodyPr>
                <a:lstStyle/>
                <a:p>
                  <a:pPr>
                    <a:defRPr sz="1000" b="1" i="0" u="sng"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3-8D14-4C84-9AF3-BBAF5EE9F5ED}"/>
                </c:ext>
              </c:extLst>
            </c:dLbl>
            <c:spPr>
              <a:noFill/>
              <a:ln>
                <a:noFill/>
              </a:ln>
              <a:effectLst>
                <a:glow rad="1905000">
                  <a:schemeClr val="accent1">
                    <a:alpha val="40000"/>
                  </a:schemeClr>
                </a:glow>
              </a:effectLst>
            </c:spPr>
            <c:txPr>
              <a:bodyPr rot="0" spcFirstLastPara="1" vertOverflow="ellipsis" vert="horz" wrap="square" lIns="38100" tIns="19050" rIns="38100" bIns="19050" anchor="ctr" anchorCtr="1">
                <a:spAutoFit/>
              </a:bodyPr>
              <a:lstStyle/>
              <a:p>
                <a:pPr>
                  <a:defRPr sz="900" b="1" i="0" u="sng"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'1.CPI Contribution Analysis'!$H$11:$H$19</c:f>
              <c:strCache>
                <c:ptCount val="9"/>
                <c:pt idx="0">
                  <c:v>Food</c:v>
                </c:pt>
                <c:pt idx="1">
                  <c:v>Luxury</c:v>
                </c:pt>
                <c:pt idx="2">
                  <c:v>Clothing</c:v>
                </c:pt>
                <c:pt idx="3">
                  <c:v>Housing</c:v>
                </c:pt>
                <c:pt idx="4">
                  <c:v>Fuel and light</c:v>
                </c:pt>
                <c:pt idx="5">
                  <c:v>Health</c:v>
                </c:pt>
                <c:pt idx="6">
                  <c:v>Transportation</c:v>
                </c:pt>
                <c:pt idx="7">
                  <c:v>Education</c:v>
                </c:pt>
                <c:pt idx="8">
                  <c:v>Other expenses </c:v>
                </c:pt>
              </c:strCache>
            </c:strRef>
          </c:cat>
          <c:val>
            <c:numRef>
              <c:f>'1.CPI Contribution Analysis'!$L$11:$L$19</c:f>
              <c:numCache>
                <c:formatCode>0%</c:formatCode>
                <c:ptCount val="9"/>
                <c:pt idx="0">
                  <c:v>0.46670223170623276</c:v>
                </c:pt>
                <c:pt idx="1">
                  <c:v>0.1666444385169378</c:v>
                </c:pt>
                <c:pt idx="2">
                  <c:v>0.12667822530452563</c:v>
                </c:pt>
                <c:pt idx="3">
                  <c:v>3.9966213212412192E-2</c:v>
                </c:pt>
                <c:pt idx="4">
                  <c:v>4.0566373255090236E-2</c:v>
                </c:pt>
                <c:pt idx="5">
                  <c:v>4.174446519071752E-2</c:v>
                </c:pt>
                <c:pt idx="6">
                  <c:v>3.7721170089801713E-2</c:v>
                </c:pt>
                <c:pt idx="7">
                  <c:v>4.0077353961056272E-2</c:v>
                </c:pt>
                <c:pt idx="8">
                  <c:v>3.9899528763225736E-2</c:v>
                </c:pt>
              </c:numCache>
            </c:numRef>
          </c:val>
          <c:extLst>
            <c:ext xmlns:c16="http://schemas.microsoft.com/office/drawing/2014/chart" uri="{C3380CC4-5D6E-409C-BE32-E72D297353CC}">
              <c16:uniqueId val="{00000000-8D14-4C84-9AF3-BBAF5EE9F5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bg1"/>
                </a:solidFill>
              </a:rPr>
              <a:t>Urban CPI Contribution</a:t>
            </a:r>
            <a:endParaRPr lang="en-US" b="1">
              <a:solidFill>
                <a:schemeClr val="bg1"/>
              </a:solidFill>
            </a:endParaRPr>
          </a:p>
        </c:rich>
      </c:tx>
      <c:overlay val="0"/>
      <c:spPr>
        <a:solidFill>
          <a:srgbClr val="00B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1"/>
          <c:order val="0"/>
          <c:tx>
            <c:strRef>
              <c:f>'1.CPI Contribution Analysis'!$M$10</c:f>
              <c:strCache>
                <c:ptCount val="1"/>
                <c:pt idx="0">
                  <c:v>Urban</c:v>
                </c:pt>
              </c:strCache>
            </c:strRef>
          </c:tx>
          <c:dPt>
            <c:idx val="0"/>
            <c:bubble3D val="0"/>
            <c:spPr>
              <a:solidFill>
                <a:schemeClr val="accent6"/>
              </a:solidFill>
              <a:ln>
                <a:noFill/>
              </a:ln>
              <a:effectLst/>
            </c:spPr>
            <c:extLst>
              <c:ext xmlns:c16="http://schemas.microsoft.com/office/drawing/2014/chart" uri="{C3380CC4-5D6E-409C-BE32-E72D297353CC}">
                <c16:uniqueId val="{00000028-1E06-477B-B69F-3C8AC99F3900}"/>
              </c:ext>
            </c:extLst>
          </c:dPt>
          <c:dPt>
            <c:idx val="1"/>
            <c:bubble3D val="0"/>
            <c:spPr>
              <a:solidFill>
                <a:schemeClr val="accent5"/>
              </a:solidFill>
              <a:ln>
                <a:noFill/>
              </a:ln>
              <a:effectLst/>
            </c:spPr>
            <c:extLst>
              <c:ext xmlns:c16="http://schemas.microsoft.com/office/drawing/2014/chart" uri="{C3380CC4-5D6E-409C-BE32-E72D297353CC}">
                <c16:uniqueId val="{00000029-1E06-477B-B69F-3C8AC99F3900}"/>
              </c:ext>
            </c:extLst>
          </c:dPt>
          <c:dPt>
            <c:idx val="2"/>
            <c:bubble3D val="0"/>
            <c:spPr>
              <a:solidFill>
                <a:schemeClr val="accent4"/>
              </a:solidFill>
              <a:ln>
                <a:noFill/>
              </a:ln>
              <a:effectLst/>
            </c:spPr>
            <c:extLst>
              <c:ext xmlns:c16="http://schemas.microsoft.com/office/drawing/2014/chart" uri="{C3380CC4-5D6E-409C-BE32-E72D297353CC}">
                <c16:uniqueId val="{0000002A-1E06-477B-B69F-3C8AC99F3900}"/>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2B-1E06-477B-B69F-3C8AC99F3900}"/>
              </c:ext>
            </c:extLst>
          </c:dPt>
          <c:dPt>
            <c:idx val="4"/>
            <c:bubble3D val="0"/>
            <c:spPr>
              <a:solidFill>
                <a:schemeClr val="accent5">
                  <a:lumMod val="60000"/>
                </a:schemeClr>
              </a:solidFill>
              <a:ln>
                <a:noFill/>
              </a:ln>
              <a:effectLst/>
            </c:spPr>
            <c:extLst>
              <c:ext xmlns:c16="http://schemas.microsoft.com/office/drawing/2014/chart" uri="{C3380CC4-5D6E-409C-BE32-E72D297353CC}">
                <c16:uniqueId val="{0000002C-1E06-477B-B69F-3C8AC99F3900}"/>
              </c:ext>
            </c:extLst>
          </c:dPt>
          <c:dPt>
            <c:idx val="5"/>
            <c:bubble3D val="0"/>
            <c:spPr>
              <a:solidFill>
                <a:schemeClr val="accent4">
                  <a:lumMod val="60000"/>
                </a:schemeClr>
              </a:solidFill>
              <a:ln>
                <a:noFill/>
              </a:ln>
              <a:effectLst/>
            </c:spPr>
            <c:extLst>
              <c:ext xmlns:c16="http://schemas.microsoft.com/office/drawing/2014/chart" uri="{C3380CC4-5D6E-409C-BE32-E72D297353CC}">
                <c16:uniqueId val="{0000002D-1E06-477B-B69F-3C8AC99F3900}"/>
              </c:ext>
            </c:extLst>
          </c:dPt>
          <c:dPt>
            <c:idx val="6"/>
            <c:bubble3D val="0"/>
            <c:spPr>
              <a:solidFill>
                <a:schemeClr val="accent6">
                  <a:lumMod val="80000"/>
                  <a:lumOff val="20000"/>
                </a:schemeClr>
              </a:solidFill>
              <a:ln>
                <a:noFill/>
              </a:ln>
              <a:effectLst/>
            </c:spPr>
            <c:extLst>
              <c:ext xmlns:c16="http://schemas.microsoft.com/office/drawing/2014/chart" uri="{C3380CC4-5D6E-409C-BE32-E72D297353CC}">
                <c16:uniqueId val="{0000002E-1E06-477B-B69F-3C8AC99F3900}"/>
              </c:ext>
            </c:extLst>
          </c:dPt>
          <c:dPt>
            <c:idx val="7"/>
            <c:bubble3D val="0"/>
            <c:spPr>
              <a:solidFill>
                <a:schemeClr val="accent5">
                  <a:lumMod val="80000"/>
                  <a:lumOff val="20000"/>
                </a:schemeClr>
              </a:solidFill>
              <a:ln>
                <a:noFill/>
              </a:ln>
              <a:effectLst/>
            </c:spPr>
            <c:extLst>
              <c:ext xmlns:c16="http://schemas.microsoft.com/office/drawing/2014/chart" uri="{C3380CC4-5D6E-409C-BE32-E72D297353CC}">
                <c16:uniqueId val="{0000002F-1E06-477B-B69F-3C8AC99F3900}"/>
              </c:ext>
            </c:extLst>
          </c:dPt>
          <c:dPt>
            <c:idx val="8"/>
            <c:bubble3D val="0"/>
            <c:spPr>
              <a:solidFill>
                <a:schemeClr val="accent4">
                  <a:lumMod val="80000"/>
                  <a:lumOff val="20000"/>
                </a:schemeClr>
              </a:solidFill>
              <a:ln>
                <a:noFill/>
              </a:ln>
              <a:effectLst/>
            </c:spPr>
            <c:extLst>
              <c:ext xmlns:c16="http://schemas.microsoft.com/office/drawing/2014/chart" uri="{C3380CC4-5D6E-409C-BE32-E72D297353CC}">
                <c16:uniqueId val="{00000030-1E06-477B-B69F-3C8AC99F3900}"/>
              </c:ext>
            </c:extLst>
          </c:dPt>
          <c:dLbls>
            <c:dLbl>
              <c:idx val="0"/>
              <c:spPr>
                <a:noFill/>
                <a:ln>
                  <a:noFill/>
                </a:ln>
                <a:effectLst/>
              </c:spPr>
              <c:txPr>
                <a:bodyPr rot="0" spcFirstLastPara="1" vertOverflow="ellipsis" vert="horz" wrap="square" lIns="38100" tIns="19050" rIns="38100" bIns="19050" anchor="ctr" anchorCtr="1">
                  <a:spAutoFit/>
                </a:bodyPr>
                <a:lstStyle/>
                <a:p>
                  <a:pPr>
                    <a:defRPr sz="1800" b="1" i="0" u="sng"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28-1E06-477B-B69F-3C8AC99F3900}"/>
                </c:ext>
              </c:extLst>
            </c:dLbl>
            <c:spPr>
              <a:noFill/>
              <a:ln>
                <a:noFill/>
              </a:ln>
              <a:effectLst/>
            </c:spPr>
            <c:txPr>
              <a:bodyPr rot="0" spcFirstLastPara="1" vertOverflow="ellipsis" vert="horz" wrap="square" lIns="38100" tIns="19050" rIns="38100" bIns="19050" anchor="ctr" anchorCtr="1">
                <a:spAutoFit/>
              </a:bodyPr>
              <a:lstStyle/>
              <a:p>
                <a:pPr>
                  <a:defRPr sz="1050" b="1" i="0" u="sng"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'1.CPI Contribution Analysis'!$H$11:$H$19</c:f>
              <c:strCache>
                <c:ptCount val="9"/>
                <c:pt idx="0">
                  <c:v>Food</c:v>
                </c:pt>
                <c:pt idx="1">
                  <c:v>Luxury</c:v>
                </c:pt>
                <c:pt idx="2">
                  <c:v>Clothing</c:v>
                </c:pt>
                <c:pt idx="3">
                  <c:v>Housing</c:v>
                </c:pt>
                <c:pt idx="4">
                  <c:v>Fuel and light</c:v>
                </c:pt>
                <c:pt idx="5">
                  <c:v>Health</c:v>
                </c:pt>
                <c:pt idx="6">
                  <c:v>Transportation</c:v>
                </c:pt>
                <c:pt idx="7">
                  <c:v>Education</c:v>
                </c:pt>
                <c:pt idx="8">
                  <c:v>Other expenses </c:v>
                </c:pt>
              </c:strCache>
            </c:strRef>
          </c:cat>
          <c:val>
            <c:numRef>
              <c:f>'1.CPI Contribution Analysis'!$M$11:$M$19</c:f>
              <c:numCache>
                <c:formatCode>0%</c:formatCode>
                <c:ptCount val="9"/>
                <c:pt idx="0">
                  <c:v>0.46055721950483741</c:v>
                </c:pt>
                <c:pt idx="1">
                  <c:v>0.16305027042168541</c:v>
                </c:pt>
                <c:pt idx="2">
                  <c:v>0.11392186860307267</c:v>
                </c:pt>
                <c:pt idx="3">
                  <c:v>7.4489861880238734E-2</c:v>
                </c:pt>
                <c:pt idx="4">
                  <c:v>3.9518196901463076E-2</c:v>
                </c:pt>
                <c:pt idx="5">
                  <c:v>3.9259626365575638E-2</c:v>
                </c:pt>
                <c:pt idx="6">
                  <c:v>3.4562261630287229E-2</c:v>
                </c:pt>
                <c:pt idx="7">
                  <c:v>3.7665108060936453E-2</c:v>
                </c:pt>
                <c:pt idx="8">
                  <c:v>3.6975586631903291E-2</c:v>
                </c:pt>
              </c:numCache>
            </c:numRef>
          </c:val>
          <c:extLst>
            <c:ext xmlns:c16="http://schemas.microsoft.com/office/drawing/2014/chart" uri="{C3380CC4-5D6E-409C-BE32-E72D297353CC}">
              <c16:uniqueId val="{00000027-1E06-477B-B69F-3C8AC99F3900}"/>
            </c:ext>
          </c:extLst>
        </c:ser>
        <c:ser>
          <c:idx val="0"/>
          <c:order val="1"/>
          <c:tx>
            <c:strRef>
              <c:f>'1.CPI Contribution Analysis'!$L$10</c:f>
              <c:strCache>
                <c:ptCount val="1"/>
                <c:pt idx="0">
                  <c:v>Rural</c:v>
                </c:pt>
              </c:strCache>
            </c:strRef>
          </c:tx>
          <c:dPt>
            <c:idx val="0"/>
            <c:bubble3D val="0"/>
            <c:spPr>
              <a:solidFill>
                <a:schemeClr val="accent6"/>
              </a:solidFill>
              <a:ln>
                <a:noFill/>
              </a:ln>
              <a:effectLst/>
            </c:spPr>
            <c:extLst>
              <c:ext xmlns:c16="http://schemas.microsoft.com/office/drawing/2014/chart" uri="{C3380CC4-5D6E-409C-BE32-E72D297353CC}">
                <c16:uniqueId val="{00000015-1E06-477B-B69F-3C8AC99F3900}"/>
              </c:ext>
            </c:extLst>
          </c:dPt>
          <c:dPt>
            <c:idx val="1"/>
            <c:bubble3D val="0"/>
            <c:spPr>
              <a:solidFill>
                <a:schemeClr val="accent5"/>
              </a:solidFill>
              <a:ln>
                <a:noFill/>
              </a:ln>
              <a:effectLst/>
            </c:spPr>
            <c:extLst>
              <c:ext xmlns:c16="http://schemas.microsoft.com/office/drawing/2014/chart" uri="{C3380CC4-5D6E-409C-BE32-E72D297353CC}">
                <c16:uniqueId val="{00000017-1E06-477B-B69F-3C8AC99F3900}"/>
              </c:ext>
            </c:extLst>
          </c:dPt>
          <c:dPt>
            <c:idx val="2"/>
            <c:bubble3D val="0"/>
            <c:spPr>
              <a:solidFill>
                <a:schemeClr val="accent4"/>
              </a:solidFill>
              <a:ln>
                <a:noFill/>
              </a:ln>
              <a:effectLst/>
            </c:spPr>
            <c:extLst>
              <c:ext xmlns:c16="http://schemas.microsoft.com/office/drawing/2014/chart" uri="{C3380CC4-5D6E-409C-BE32-E72D297353CC}">
                <c16:uniqueId val="{00000019-1E06-477B-B69F-3C8AC99F3900}"/>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1B-1E06-477B-B69F-3C8AC99F3900}"/>
              </c:ext>
            </c:extLst>
          </c:dPt>
          <c:dPt>
            <c:idx val="4"/>
            <c:bubble3D val="0"/>
            <c:spPr>
              <a:solidFill>
                <a:schemeClr val="accent5">
                  <a:lumMod val="60000"/>
                </a:schemeClr>
              </a:solidFill>
              <a:ln>
                <a:noFill/>
              </a:ln>
              <a:effectLst/>
            </c:spPr>
            <c:extLst>
              <c:ext xmlns:c16="http://schemas.microsoft.com/office/drawing/2014/chart" uri="{C3380CC4-5D6E-409C-BE32-E72D297353CC}">
                <c16:uniqueId val="{0000001D-1E06-477B-B69F-3C8AC99F3900}"/>
              </c:ext>
            </c:extLst>
          </c:dPt>
          <c:dPt>
            <c:idx val="5"/>
            <c:bubble3D val="0"/>
            <c:spPr>
              <a:solidFill>
                <a:schemeClr val="accent4">
                  <a:lumMod val="60000"/>
                </a:schemeClr>
              </a:solidFill>
              <a:ln>
                <a:noFill/>
              </a:ln>
              <a:effectLst/>
            </c:spPr>
            <c:extLst>
              <c:ext xmlns:c16="http://schemas.microsoft.com/office/drawing/2014/chart" uri="{C3380CC4-5D6E-409C-BE32-E72D297353CC}">
                <c16:uniqueId val="{0000001F-1E06-477B-B69F-3C8AC99F3900}"/>
              </c:ext>
            </c:extLst>
          </c:dPt>
          <c:dPt>
            <c:idx val="6"/>
            <c:bubble3D val="0"/>
            <c:spPr>
              <a:solidFill>
                <a:schemeClr val="accent6">
                  <a:lumMod val="80000"/>
                  <a:lumOff val="20000"/>
                </a:schemeClr>
              </a:solidFill>
              <a:ln>
                <a:noFill/>
              </a:ln>
              <a:effectLst/>
            </c:spPr>
            <c:extLst>
              <c:ext xmlns:c16="http://schemas.microsoft.com/office/drawing/2014/chart" uri="{C3380CC4-5D6E-409C-BE32-E72D297353CC}">
                <c16:uniqueId val="{00000021-1E06-477B-B69F-3C8AC99F3900}"/>
              </c:ext>
            </c:extLst>
          </c:dPt>
          <c:dPt>
            <c:idx val="7"/>
            <c:bubble3D val="0"/>
            <c:spPr>
              <a:solidFill>
                <a:schemeClr val="accent5">
                  <a:lumMod val="80000"/>
                  <a:lumOff val="20000"/>
                </a:schemeClr>
              </a:solidFill>
              <a:ln>
                <a:noFill/>
              </a:ln>
              <a:effectLst/>
            </c:spPr>
            <c:extLst>
              <c:ext xmlns:c16="http://schemas.microsoft.com/office/drawing/2014/chart" uri="{C3380CC4-5D6E-409C-BE32-E72D297353CC}">
                <c16:uniqueId val="{00000023-1E06-477B-B69F-3C8AC99F3900}"/>
              </c:ext>
            </c:extLst>
          </c:dPt>
          <c:dPt>
            <c:idx val="8"/>
            <c:bubble3D val="0"/>
            <c:spPr>
              <a:solidFill>
                <a:schemeClr val="accent4">
                  <a:lumMod val="80000"/>
                  <a:lumOff val="20000"/>
                </a:schemeClr>
              </a:solidFill>
              <a:ln>
                <a:noFill/>
              </a:ln>
              <a:effectLst/>
            </c:spPr>
            <c:extLst>
              <c:ext xmlns:c16="http://schemas.microsoft.com/office/drawing/2014/chart" uri="{C3380CC4-5D6E-409C-BE32-E72D297353CC}">
                <c16:uniqueId val="{00000025-1E06-477B-B69F-3C8AC99F3900}"/>
              </c:ext>
            </c:extLst>
          </c:dPt>
          <c:dLbls>
            <c:dLbl>
              <c:idx val="0"/>
              <c:tx>
                <c:rich>
                  <a:bodyPr rot="0" spcFirstLastPara="1" vertOverflow="ellipsis" vert="horz" wrap="square" lIns="38100" tIns="19050" rIns="38100" bIns="19050" anchor="ctr" anchorCtr="1">
                    <a:spAutoFit/>
                  </a:bodyPr>
                  <a:lstStyle/>
                  <a:p>
                    <a:pPr>
                      <a:defRPr sz="2000" b="1" i="0" u="sng" strike="noStrike" kern="1200" baseline="0">
                        <a:solidFill>
                          <a:srgbClr val="FFFF00"/>
                        </a:solidFill>
                        <a:latin typeface="+mn-lt"/>
                        <a:ea typeface="+mn-ea"/>
                        <a:cs typeface="+mn-cs"/>
                      </a:defRPr>
                    </a:pPr>
                    <a:fld id="{99EF54E8-E174-4199-9B12-19CA274A0D8E}" type="VALUE">
                      <a:rPr lang="en-US" sz="1600"/>
                      <a:pPr>
                        <a:defRPr sz="2000" b="1" u="sng">
                          <a:solidFill>
                            <a:srgbClr val="FFFF00"/>
                          </a:solidFill>
                        </a:defRPr>
                      </a:pPr>
                      <a:t>[VALUE]</a:t>
                    </a:fld>
                    <a:endParaRPr lang="en-IN"/>
                  </a:p>
                </c:rich>
              </c:tx>
              <c:spPr>
                <a:noFill/>
                <a:ln>
                  <a:noFill/>
                </a:ln>
                <a:effectLst>
                  <a:glow rad="1905000">
                    <a:schemeClr val="accent1">
                      <a:alpha val="40000"/>
                    </a:schemeClr>
                  </a:glow>
                </a:effectLst>
              </c:spPr>
              <c:txPr>
                <a:bodyPr rot="0" spcFirstLastPara="1" vertOverflow="ellipsis" vert="horz" wrap="square" lIns="38100" tIns="19050" rIns="38100" bIns="19050" anchor="ctr" anchorCtr="1">
                  <a:spAutoFit/>
                </a:bodyPr>
                <a:lstStyle/>
                <a:p>
                  <a:pPr>
                    <a:defRPr sz="2000" b="1" i="0" u="sng" strike="noStrike" kern="1200" baseline="0">
                      <a:solidFill>
                        <a:srgbClr val="FFFF00"/>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5-1E06-477B-B69F-3C8AC99F3900}"/>
                </c:ext>
              </c:extLst>
            </c:dLbl>
            <c:dLbl>
              <c:idx val="8"/>
              <c:spPr>
                <a:noFill/>
                <a:ln>
                  <a:noFill/>
                </a:ln>
                <a:effectLst>
                  <a:glow rad="1905000">
                    <a:schemeClr val="accent1">
                      <a:alpha val="40000"/>
                    </a:schemeClr>
                  </a:glow>
                </a:effectLst>
              </c:spPr>
              <c:txPr>
                <a:bodyPr rot="0" spcFirstLastPara="1" vertOverflow="ellipsis" vert="horz" wrap="square" lIns="38100" tIns="19050" rIns="38100" bIns="19050" anchor="ctr" anchorCtr="1">
                  <a:spAutoFit/>
                </a:bodyPr>
                <a:lstStyle/>
                <a:p>
                  <a:pPr>
                    <a:defRPr sz="1000" b="1" i="0" u="sng"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25-1E06-477B-B69F-3C8AC99F3900}"/>
                </c:ext>
              </c:extLst>
            </c:dLbl>
            <c:spPr>
              <a:noFill/>
              <a:ln>
                <a:noFill/>
              </a:ln>
              <a:effectLst>
                <a:glow rad="1905000">
                  <a:schemeClr val="accent1">
                    <a:alpha val="40000"/>
                  </a:schemeClr>
                </a:glow>
              </a:effectLst>
            </c:spPr>
            <c:txPr>
              <a:bodyPr rot="0" spcFirstLastPara="1" vertOverflow="ellipsis" vert="horz" wrap="square" lIns="38100" tIns="19050" rIns="38100" bIns="19050" anchor="ctr" anchorCtr="1">
                <a:spAutoFit/>
              </a:bodyPr>
              <a:lstStyle/>
              <a:p>
                <a:pPr>
                  <a:defRPr sz="900" b="1" i="0" u="sng"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'1.CPI Contribution Analysis'!$H$11:$H$19</c:f>
              <c:strCache>
                <c:ptCount val="9"/>
                <c:pt idx="0">
                  <c:v>Food</c:v>
                </c:pt>
                <c:pt idx="1">
                  <c:v>Luxury</c:v>
                </c:pt>
                <c:pt idx="2">
                  <c:v>Clothing</c:v>
                </c:pt>
                <c:pt idx="3">
                  <c:v>Housing</c:v>
                </c:pt>
                <c:pt idx="4">
                  <c:v>Fuel and light</c:v>
                </c:pt>
                <c:pt idx="5">
                  <c:v>Health</c:v>
                </c:pt>
                <c:pt idx="6">
                  <c:v>Transportation</c:v>
                </c:pt>
                <c:pt idx="7">
                  <c:v>Education</c:v>
                </c:pt>
                <c:pt idx="8">
                  <c:v>Other expenses </c:v>
                </c:pt>
              </c:strCache>
            </c:strRef>
          </c:cat>
          <c:val>
            <c:numRef>
              <c:f>'1.CPI Contribution Analysis'!$L$11:$L$19</c:f>
              <c:numCache>
                <c:formatCode>0%</c:formatCode>
                <c:ptCount val="9"/>
                <c:pt idx="0">
                  <c:v>0.46670223170623276</c:v>
                </c:pt>
                <c:pt idx="1">
                  <c:v>0.1666444385169378</c:v>
                </c:pt>
                <c:pt idx="2">
                  <c:v>0.12667822530452563</c:v>
                </c:pt>
                <c:pt idx="3">
                  <c:v>3.9966213212412192E-2</c:v>
                </c:pt>
                <c:pt idx="4">
                  <c:v>4.0566373255090236E-2</c:v>
                </c:pt>
                <c:pt idx="5">
                  <c:v>4.174446519071752E-2</c:v>
                </c:pt>
                <c:pt idx="6">
                  <c:v>3.7721170089801713E-2</c:v>
                </c:pt>
                <c:pt idx="7">
                  <c:v>4.0077353961056272E-2</c:v>
                </c:pt>
                <c:pt idx="8">
                  <c:v>3.9899528763225736E-2</c:v>
                </c:pt>
              </c:numCache>
            </c:numRef>
          </c:val>
          <c:extLst>
            <c:ext xmlns:c16="http://schemas.microsoft.com/office/drawing/2014/chart" uri="{C3380CC4-5D6E-409C-BE32-E72D297353CC}">
              <c16:uniqueId val="{00000026-1E06-477B-B69F-3C8AC99F390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bg1"/>
                </a:solidFill>
              </a:rPr>
              <a:t>Rural + Urban CPI Contribution</a:t>
            </a:r>
            <a:endParaRPr lang="en-US" b="1">
              <a:solidFill>
                <a:schemeClr val="bg1"/>
              </a:solidFill>
            </a:endParaRPr>
          </a:p>
        </c:rich>
      </c:tx>
      <c:overlay val="0"/>
      <c:spPr>
        <a:solidFill>
          <a:srgbClr val="00B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1"/>
          <c:order val="0"/>
          <c:tx>
            <c:strRef>
              <c:f>'1.CPI Contribution Analysis'!$N$10</c:f>
              <c:strCache>
                <c:ptCount val="1"/>
                <c:pt idx="0">
                  <c:v>Rural+Urban</c:v>
                </c:pt>
              </c:strCache>
            </c:strRef>
          </c:tx>
          <c:dPt>
            <c:idx val="0"/>
            <c:bubble3D val="0"/>
            <c:spPr>
              <a:solidFill>
                <a:schemeClr val="accent6"/>
              </a:solidFill>
              <a:ln>
                <a:noFill/>
              </a:ln>
              <a:effectLst/>
            </c:spPr>
            <c:extLst>
              <c:ext xmlns:c16="http://schemas.microsoft.com/office/drawing/2014/chart" uri="{C3380CC4-5D6E-409C-BE32-E72D297353CC}">
                <c16:uniqueId val="{00000028-4023-456B-9FB8-D80E307779E2}"/>
              </c:ext>
            </c:extLst>
          </c:dPt>
          <c:dPt>
            <c:idx val="1"/>
            <c:bubble3D val="0"/>
            <c:spPr>
              <a:solidFill>
                <a:schemeClr val="accent5"/>
              </a:solidFill>
              <a:ln>
                <a:noFill/>
              </a:ln>
              <a:effectLst/>
            </c:spPr>
            <c:extLst>
              <c:ext xmlns:c16="http://schemas.microsoft.com/office/drawing/2014/chart" uri="{C3380CC4-5D6E-409C-BE32-E72D297353CC}">
                <c16:uniqueId val="{00000029-4023-456B-9FB8-D80E307779E2}"/>
              </c:ext>
            </c:extLst>
          </c:dPt>
          <c:dPt>
            <c:idx val="2"/>
            <c:bubble3D val="0"/>
            <c:spPr>
              <a:solidFill>
                <a:schemeClr val="accent4"/>
              </a:solidFill>
              <a:ln>
                <a:noFill/>
              </a:ln>
              <a:effectLst/>
            </c:spPr>
            <c:extLst>
              <c:ext xmlns:c16="http://schemas.microsoft.com/office/drawing/2014/chart" uri="{C3380CC4-5D6E-409C-BE32-E72D297353CC}">
                <c16:uniqueId val="{0000002A-4023-456B-9FB8-D80E307779E2}"/>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2B-4023-456B-9FB8-D80E307779E2}"/>
              </c:ext>
            </c:extLst>
          </c:dPt>
          <c:dPt>
            <c:idx val="4"/>
            <c:bubble3D val="0"/>
            <c:spPr>
              <a:solidFill>
                <a:schemeClr val="accent5">
                  <a:lumMod val="60000"/>
                </a:schemeClr>
              </a:solidFill>
              <a:ln>
                <a:noFill/>
              </a:ln>
              <a:effectLst/>
            </c:spPr>
            <c:extLst>
              <c:ext xmlns:c16="http://schemas.microsoft.com/office/drawing/2014/chart" uri="{C3380CC4-5D6E-409C-BE32-E72D297353CC}">
                <c16:uniqueId val="{0000002C-4023-456B-9FB8-D80E307779E2}"/>
              </c:ext>
            </c:extLst>
          </c:dPt>
          <c:dPt>
            <c:idx val="5"/>
            <c:bubble3D val="0"/>
            <c:spPr>
              <a:solidFill>
                <a:schemeClr val="accent4">
                  <a:lumMod val="60000"/>
                </a:schemeClr>
              </a:solidFill>
              <a:ln>
                <a:noFill/>
              </a:ln>
              <a:effectLst/>
            </c:spPr>
            <c:extLst>
              <c:ext xmlns:c16="http://schemas.microsoft.com/office/drawing/2014/chart" uri="{C3380CC4-5D6E-409C-BE32-E72D297353CC}">
                <c16:uniqueId val="{0000002D-4023-456B-9FB8-D80E307779E2}"/>
              </c:ext>
            </c:extLst>
          </c:dPt>
          <c:dPt>
            <c:idx val="6"/>
            <c:bubble3D val="0"/>
            <c:spPr>
              <a:solidFill>
                <a:schemeClr val="accent6">
                  <a:lumMod val="80000"/>
                  <a:lumOff val="20000"/>
                </a:schemeClr>
              </a:solidFill>
              <a:ln>
                <a:noFill/>
              </a:ln>
              <a:effectLst/>
            </c:spPr>
            <c:extLst>
              <c:ext xmlns:c16="http://schemas.microsoft.com/office/drawing/2014/chart" uri="{C3380CC4-5D6E-409C-BE32-E72D297353CC}">
                <c16:uniqueId val="{0000002E-4023-456B-9FB8-D80E307779E2}"/>
              </c:ext>
            </c:extLst>
          </c:dPt>
          <c:dPt>
            <c:idx val="7"/>
            <c:bubble3D val="0"/>
            <c:spPr>
              <a:solidFill>
                <a:schemeClr val="accent5">
                  <a:lumMod val="80000"/>
                  <a:lumOff val="20000"/>
                </a:schemeClr>
              </a:solidFill>
              <a:ln>
                <a:noFill/>
              </a:ln>
              <a:effectLst/>
            </c:spPr>
            <c:extLst>
              <c:ext xmlns:c16="http://schemas.microsoft.com/office/drawing/2014/chart" uri="{C3380CC4-5D6E-409C-BE32-E72D297353CC}">
                <c16:uniqueId val="{0000002F-4023-456B-9FB8-D80E307779E2}"/>
              </c:ext>
            </c:extLst>
          </c:dPt>
          <c:dPt>
            <c:idx val="8"/>
            <c:bubble3D val="0"/>
            <c:spPr>
              <a:solidFill>
                <a:schemeClr val="accent4">
                  <a:lumMod val="80000"/>
                  <a:lumOff val="20000"/>
                </a:schemeClr>
              </a:solidFill>
              <a:ln>
                <a:noFill/>
              </a:ln>
              <a:effectLst/>
            </c:spPr>
            <c:extLst>
              <c:ext xmlns:c16="http://schemas.microsoft.com/office/drawing/2014/chart" uri="{C3380CC4-5D6E-409C-BE32-E72D297353CC}">
                <c16:uniqueId val="{00000030-4023-456B-9FB8-D80E307779E2}"/>
              </c:ext>
            </c:extLst>
          </c:dPt>
          <c:dLbls>
            <c:dLbl>
              <c:idx val="0"/>
              <c:spPr>
                <a:noFill/>
                <a:ln>
                  <a:noFill/>
                </a:ln>
                <a:effectLst/>
              </c:spPr>
              <c:txPr>
                <a:bodyPr rot="0" spcFirstLastPara="1" vertOverflow="ellipsis" vert="horz" wrap="square" lIns="38100" tIns="19050" rIns="38100" bIns="19050" anchor="ctr" anchorCtr="1">
                  <a:spAutoFit/>
                </a:bodyPr>
                <a:lstStyle/>
                <a:p>
                  <a:pPr>
                    <a:defRPr sz="1800" b="1" i="0" u="sng"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28-4023-456B-9FB8-D80E307779E2}"/>
                </c:ext>
              </c:extLst>
            </c:dLbl>
            <c:spPr>
              <a:noFill/>
              <a:ln>
                <a:noFill/>
              </a:ln>
              <a:effectLst/>
            </c:spPr>
            <c:txPr>
              <a:bodyPr rot="0" spcFirstLastPara="1" vertOverflow="ellipsis" vert="horz" wrap="square" lIns="38100" tIns="19050" rIns="38100" bIns="19050" anchor="ctr" anchorCtr="1">
                <a:spAutoFit/>
              </a:bodyPr>
              <a:lstStyle/>
              <a:p>
                <a:pPr>
                  <a:defRPr sz="1050" b="1" i="0" u="sng"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'1.CPI Contribution Analysis'!$H$11:$H$19</c:f>
              <c:strCache>
                <c:ptCount val="9"/>
                <c:pt idx="0">
                  <c:v>Food</c:v>
                </c:pt>
                <c:pt idx="1">
                  <c:v>Luxury</c:v>
                </c:pt>
                <c:pt idx="2">
                  <c:v>Clothing</c:v>
                </c:pt>
                <c:pt idx="3">
                  <c:v>Housing</c:v>
                </c:pt>
                <c:pt idx="4">
                  <c:v>Fuel and light</c:v>
                </c:pt>
                <c:pt idx="5">
                  <c:v>Health</c:v>
                </c:pt>
                <c:pt idx="6">
                  <c:v>Transportation</c:v>
                </c:pt>
                <c:pt idx="7">
                  <c:v>Education</c:v>
                </c:pt>
                <c:pt idx="8">
                  <c:v>Other expenses </c:v>
                </c:pt>
              </c:strCache>
            </c:strRef>
          </c:cat>
          <c:val>
            <c:numRef>
              <c:f>'1.CPI Contribution Analysis'!$N$11:$N$19</c:f>
              <c:numCache>
                <c:formatCode>0%</c:formatCode>
                <c:ptCount val="9"/>
                <c:pt idx="0">
                  <c:v>0.45391457545548297</c:v>
                </c:pt>
                <c:pt idx="1">
                  <c:v>0.16148160880027498</c:v>
                </c:pt>
                <c:pt idx="2">
                  <c:v>0.11885527672739772</c:v>
                </c:pt>
                <c:pt idx="3">
                  <c:v>7.5369542798212424E-2</c:v>
                </c:pt>
                <c:pt idx="4">
                  <c:v>3.9274664833276039E-2</c:v>
                </c:pt>
                <c:pt idx="5">
                  <c:v>3.9897731179099338E-2</c:v>
                </c:pt>
                <c:pt idx="6">
                  <c:v>3.5407356479889997E-2</c:v>
                </c:pt>
                <c:pt idx="7">
                  <c:v>3.8050017188037119E-2</c:v>
                </c:pt>
                <c:pt idx="8">
                  <c:v>3.7749226538329315E-2</c:v>
                </c:pt>
              </c:numCache>
            </c:numRef>
          </c:val>
          <c:extLst>
            <c:ext xmlns:c16="http://schemas.microsoft.com/office/drawing/2014/chart" uri="{C3380CC4-5D6E-409C-BE32-E72D297353CC}">
              <c16:uniqueId val="{00000027-4023-456B-9FB8-D80E307779E2}"/>
            </c:ext>
          </c:extLst>
        </c:ser>
        <c:ser>
          <c:idx val="0"/>
          <c:order val="1"/>
          <c:tx>
            <c:strRef>
              <c:f>'1.CPI Contribution Analysis'!$L$10</c:f>
              <c:strCache>
                <c:ptCount val="1"/>
                <c:pt idx="0">
                  <c:v>Rural</c:v>
                </c:pt>
              </c:strCache>
            </c:strRef>
          </c:tx>
          <c:dPt>
            <c:idx val="0"/>
            <c:bubble3D val="0"/>
            <c:spPr>
              <a:solidFill>
                <a:schemeClr val="accent6"/>
              </a:solidFill>
              <a:ln>
                <a:noFill/>
              </a:ln>
              <a:effectLst/>
            </c:spPr>
            <c:extLst>
              <c:ext xmlns:c16="http://schemas.microsoft.com/office/drawing/2014/chart" uri="{C3380CC4-5D6E-409C-BE32-E72D297353CC}">
                <c16:uniqueId val="{00000015-4023-456B-9FB8-D80E307779E2}"/>
              </c:ext>
            </c:extLst>
          </c:dPt>
          <c:dPt>
            <c:idx val="1"/>
            <c:bubble3D val="0"/>
            <c:spPr>
              <a:solidFill>
                <a:schemeClr val="accent5"/>
              </a:solidFill>
              <a:ln>
                <a:noFill/>
              </a:ln>
              <a:effectLst/>
            </c:spPr>
            <c:extLst>
              <c:ext xmlns:c16="http://schemas.microsoft.com/office/drawing/2014/chart" uri="{C3380CC4-5D6E-409C-BE32-E72D297353CC}">
                <c16:uniqueId val="{00000017-4023-456B-9FB8-D80E307779E2}"/>
              </c:ext>
            </c:extLst>
          </c:dPt>
          <c:dPt>
            <c:idx val="2"/>
            <c:bubble3D val="0"/>
            <c:spPr>
              <a:solidFill>
                <a:schemeClr val="accent4"/>
              </a:solidFill>
              <a:ln>
                <a:noFill/>
              </a:ln>
              <a:effectLst/>
            </c:spPr>
            <c:extLst>
              <c:ext xmlns:c16="http://schemas.microsoft.com/office/drawing/2014/chart" uri="{C3380CC4-5D6E-409C-BE32-E72D297353CC}">
                <c16:uniqueId val="{00000019-4023-456B-9FB8-D80E307779E2}"/>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1B-4023-456B-9FB8-D80E307779E2}"/>
              </c:ext>
            </c:extLst>
          </c:dPt>
          <c:dPt>
            <c:idx val="4"/>
            <c:bubble3D val="0"/>
            <c:spPr>
              <a:solidFill>
                <a:schemeClr val="accent5">
                  <a:lumMod val="60000"/>
                </a:schemeClr>
              </a:solidFill>
              <a:ln>
                <a:noFill/>
              </a:ln>
              <a:effectLst/>
            </c:spPr>
            <c:extLst>
              <c:ext xmlns:c16="http://schemas.microsoft.com/office/drawing/2014/chart" uri="{C3380CC4-5D6E-409C-BE32-E72D297353CC}">
                <c16:uniqueId val="{0000001D-4023-456B-9FB8-D80E307779E2}"/>
              </c:ext>
            </c:extLst>
          </c:dPt>
          <c:dPt>
            <c:idx val="5"/>
            <c:bubble3D val="0"/>
            <c:spPr>
              <a:solidFill>
                <a:schemeClr val="accent4">
                  <a:lumMod val="60000"/>
                </a:schemeClr>
              </a:solidFill>
              <a:ln>
                <a:noFill/>
              </a:ln>
              <a:effectLst/>
            </c:spPr>
            <c:extLst>
              <c:ext xmlns:c16="http://schemas.microsoft.com/office/drawing/2014/chart" uri="{C3380CC4-5D6E-409C-BE32-E72D297353CC}">
                <c16:uniqueId val="{0000001F-4023-456B-9FB8-D80E307779E2}"/>
              </c:ext>
            </c:extLst>
          </c:dPt>
          <c:dPt>
            <c:idx val="6"/>
            <c:bubble3D val="0"/>
            <c:spPr>
              <a:solidFill>
                <a:schemeClr val="accent6">
                  <a:lumMod val="80000"/>
                  <a:lumOff val="20000"/>
                </a:schemeClr>
              </a:solidFill>
              <a:ln>
                <a:noFill/>
              </a:ln>
              <a:effectLst/>
            </c:spPr>
            <c:extLst>
              <c:ext xmlns:c16="http://schemas.microsoft.com/office/drawing/2014/chart" uri="{C3380CC4-5D6E-409C-BE32-E72D297353CC}">
                <c16:uniqueId val="{00000021-4023-456B-9FB8-D80E307779E2}"/>
              </c:ext>
            </c:extLst>
          </c:dPt>
          <c:dPt>
            <c:idx val="7"/>
            <c:bubble3D val="0"/>
            <c:spPr>
              <a:solidFill>
                <a:schemeClr val="accent5">
                  <a:lumMod val="80000"/>
                  <a:lumOff val="20000"/>
                </a:schemeClr>
              </a:solidFill>
              <a:ln>
                <a:noFill/>
              </a:ln>
              <a:effectLst/>
            </c:spPr>
            <c:extLst>
              <c:ext xmlns:c16="http://schemas.microsoft.com/office/drawing/2014/chart" uri="{C3380CC4-5D6E-409C-BE32-E72D297353CC}">
                <c16:uniqueId val="{00000023-4023-456B-9FB8-D80E307779E2}"/>
              </c:ext>
            </c:extLst>
          </c:dPt>
          <c:dPt>
            <c:idx val="8"/>
            <c:bubble3D val="0"/>
            <c:spPr>
              <a:solidFill>
                <a:schemeClr val="accent4">
                  <a:lumMod val="80000"/>
                  <a:lumOff val="20000"/>
                </a:schemeClr>
              </a:solidFill>
              <a:ln>
                <a:noFill/>
              </a:ln>
              <a:effectLst/>
            </c:spPr>
            <c:extLst>
              <c:ext xmlns:c16="http://schemas.microsoft.com/office/drawing/2014/chart" uri="{C3380CC4-5D6E-409C-BE32-E72D297353CC}">
                <c16:uniqueId val="{00000025-4023-456B-9FB8-D80E307779E2}"/>
              </c:ext>
            </c:extLst>
          </c:dPt>
          <c:dLbls>
            <c:dLbl>
              <c:idx val="0"/>
              <c:tx>
                <c:rich>
                  <a:bodyPr rot="0" spcFirstLastPara="1" vertOverflow="ellipsis" vert="horz" wrap="square" lIns="38100" tIns="19050" rIns="38100" bIns="19050" anchor="ctr" anchorCtr="1">
                    <a:spAutoFit/>
                  </a:bodyPr>
                  <a:lstStyle/>
                  <a:p>
                    <a:pPr>
                      <a:defRPr sz="2000" b="1" i="0" u="sng" strike="noStrike" kern="1200" baseline="0">
                        <a:solidFill>
                          <a:srgbClr val="FFFF00"/>
                        </a:solidFill>
                        <a:latin typeface="+mn-lt"/>
                        <a:ea typeface="+mn-ea"/>
                        <a:cs typeface="+mn-cs"/>
                      </a:defRPr>
                    </a:pPr>
                    <a:fld id="{99EF54E8-E174-4199-9B12-19CA274A0D8E}" type="VALUE">
                      <a:rPr lang="en-US" sz="1600"/>
                      <a:pPr>
                        <a:defRPr sz="2000" b="1" u="sng">
                          <a:solidFill>
                            <a:srgbClr val="FFFF00"/>
                          </a:solidFill>
                        </a:defRPr>
                      </a:pPr>
                      <a:t>[VALUE]</a:t>
                    </a:fld>
                    <a:endParaRPr lang="en-IN"/>
                  </a:p>
                </c:rich>
              </c:tx>
              <c:spPr>
                <a:noFill/>
                <a:ln>
                  <a:noFill/>
                </a:ln>
                <a:effectLst>
                  <a:glow rad="1905000">
                    <a:schemeClr val="accent1">
                      <a:alpha val="40000"/>
                    </a:schemeClr>
                  </a:glow>
                </a:effectLst>
              </c:spPr>
              <c:txPr>
                <a:bodyPr rot="0" spcFirstLastPara="1" vertOverflow="ellipsis" vert="horz" wrap="square" lIns="38100" tIns="19050" rIns="38100" bIns="19050" anchor="ctr" anchorCtr="1">
                  <a:spAutoFit/>
                </a:bodyPr>
                <a:lstStyle/>
                <a:p>
                  <a:pPr>
                    <a:defRPr sz="2000" b="1" i="0" u="sng" strike="noStrike" kern="1200" baseline="0">
                      <a:solidFill>
                        <a:srgbClr val="FFFF00"/>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5-4023-456B-9FB8-D80E307779E2}"/>
                </c:ext>
              </c:extLst>
            </c:dLbl>
            <c:dLbl>
              <c:idx val="8"/>
              <c:spPr>
                <a:noFill/>
                <a:ln>
                  <a:noFill/>
                </a:ln>
                <a:effectLst>
                  <a:glow rad="1905000">
                    <a:schemeClr val="accent1">
                      <a:alpha val="40000"/>
                    </a:schemeClr>
                  </a:glow>
                </a:effectLst>
              </c:spPr>
              <c:txPr>
                <a:bodyPr rot="0" spcFirstLastPara="1" vertOverflow="ellipsis" vert="horz" wrap="square" lIns="38100" tIns="19050" rIns="38100" bIns="19050" anchor="ctr" anchorCtr="1">
                  <a:spAutoFit/>
                </a:bodyPr>
                <a:lstStyle/>
                <a:p>
                  <a:pPr>
                    <a:defRPr sz="1000" b="1" i="0" u="sng"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25-4023-456B-9FB8-D80E307779E2}"/>
                </c:ext>
              </c:extLst>
            </c:dLbl>
            <c:spPr>
              <a:noFill/>
              <a:ln>
                <a:noFill/>
              </a:ln>
              <a:effectLst>
                <a:glow rad="1905000">
                  <a:schemeClr val="accent1">
                    <a:alpha val="40000"/>
                  </a:schemeClr>
                </a:glow>
              </a:effectLst>
            </c:spPr>
            <c:txPr>
              <a:bodyPr rot="0" spcFirstLastPara="1" vertOverflow="ellipsis" vert="horz" wrap="square" lIns="38100" tIns="19050" rIns="38100" bIns="19050" anchor="ctr" anchorCtr="1">
                <a:spAutoFit/>
              </a:bodyPr>
              <a:lstStyle/>
              <a:p>
                <a:pPr>
                  <a:defRPr sz="900" b="1" i="0" u="sng"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'1.CPI Contribution Analysis'!$H$11:$H$19</c:f>
              <c:strCache>
                <c:ptCount val="9"/>
                <c:pt idx="0">
                  <c:v>Food</c:v>
                </c:pt>
                <c:pt idx="1">
                  <c:v>Luxury</c:v>
                </c:pt>
                <c:pt idx="2">
                  <c:v>Clothing</c:v>
                </c:pt>
                <c:pt idx="3">
                  <c:v>Housing</c:v>
                </c:pt>
                <c:pt idx="4">
                  <c:v>Fuel and light</c:v>
                </c:pt>
                <c:pt idx="5">
                  <c:v>Health</c:v>
                </c:pt>
                <c:pt idx="6">
                  <c:v>Transportation</c:v>
                </c:pt>
                <c:pt idx="7">
                  <c:v>Education</c:v>
                </c:pt>
                <c:pt idx="8">
                  <c:v>Other expenses </c:v>
                </c:pt>
              </c:strCache>
            </c:strRef>
          </c:cat>
          <c:val>
            <c:numRef>
              <c:f>'1.CPI Contribution Analysis'!$L$11:$L$19</c:f>
              <c:numCache>
                <c:formatCode>0%</c:formatCode>
                <c:ptCount val="9"/>
                <c:pt idx="0">
                  <c:v>0.46670223170623276</c:v>
                </c:pt>
                <c:pt idx="1">
                  <c:v>0.1666444385169378</c:v>
                </c:pt>
                <c:pt idx="2">
                  <c:v>0.12667822530452563</c:v>
                </c:pt>
                <c:pt idx="3">
                  <c:v>3.9966213212412192E-2</c:v>
                </c:pt>
                <c:pt idx="4">
                  <c:v>4.0566373255090236E-2</c:v>
                </c:pt>
                <c:pt idx="5">
                  <c:v>4.174446519071752E-2</c:v>
                </c:pt>
                <c:pt idx="6">
                  <c:v>3.7721170089801713E-2</c:v>
                </c:pt>
                <c:pt idx="7">
                  <c:v>4.0077353961056272E-2</c:v>
                </c:pt>
                <c:pt idx="8">
                  <c:v>3.9899528763225736E-2</c:v>
                </c:pt>
              </c:numCache>
            </c:numRef>
          </c:val>
          <c:extLst>
            <c:ext xmlns:c16="http://schemas.microsoft.com/office/drawing/2014/chart" uri="{C3380CC4-5D6E-409C-BE32-E72D297353CC}">
              <c16:uniqueId val="{00000026-4023-456B-9FB8-D80E307779E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0" i="0" u="none" strike="noStrike" kern="1200" spc="0" baseline="0">
                <a:solidFill>
                  <a:sysClr val="window" lastClr="FFFFFF"/>
                </a:solidFill>
                <a:latin typeface="+mn-lt"/>
                <a:ea typeface="+mn-ea"/>
                <a:cs typeface="+mn-cs"/>
              </a:defRPr>
            </a:pPr>
            <a:r>
              <a:rPr lang="en-IN" sz="1400" b="1" i="0" u="sng" strike="noStrike" kern="1200" spc="0" baseline="0">
                <a:solidFill>
                  <a:schemeClr val="bg1"/>
                </a:solidFill>
                <a:latin typeface="+mn-lt"/>
                <a:ea typeface="+mn-ea"/>
                <a:cs typeface="+mn-cs"/>
              </a:rPr>
              <a:t>Rural + Urban CPI YoY Inflation Trend — March Data (2017–2023)</a:t>
            </a:r>
          </a:p>
        </c:rich>
      </c:tx>
      <c:layout>
        <c:manualLayout>
          <c:xMode val="edge"/>
          <c:yMode val="edge"/>
          <c:x val="0.17068044619422573"/>
          <c:y val="1.9766606097314759E-2"/>
        </c:manualLayout>
      </c:layout>
      <c:overlay val="0"/>
      <c:spPr>
        <a:solidFill>
          <a:schemeClr val="bg1">
            <a:lumMod val="65000"/>
          </a:schemeClr>
        </a:solidFill>
        <a:ln>
          <a:noFill/>
        </a:ln>
        <a:effectLst/>
      </c:spPr>
      <c:txPr>
        <a:bodyPr rot="0" spcFirstLastPara="1" vertOverflow="ellipsis" vert="horz" wrap="square" anchor="ctr" anchorCtr="1"/>
        <a:lstStyle/>
        <a:p>
          <a:pPr algn="ctr" rtl="0">
            <a:defRPr sz="1400" b="0" i="0" u="none" strike="noStrike" kern="1200" spc="0" baseline="0">
              <a:solidFill>
                <a:sysClr val="window" lastClr="FFFFFF"/>
              </a:solidFill>
              <a:latin typeface="+mn-lt"/>
              <a:ea typeface="+mn-ea"/>
              <a:cs typeface="+mn-cs"/>
            </a:defRPr>
          </a:pPr>
          <a:endParaRPr lang="en-IN"/>
        </a:p>
      </c:txPr>
    </c:title>
    <c:autoTitleDeleted val="0"/>
    <c:plotArea>
      <c:layout/>
      <c:lineChart>
        <c:grouping val="standard"/>
        <c:varyColors val="0"/>
        <c:ser>
          <c:idx val="0"/>
          <c:order val="0"/>
          <c:spPr>
            <a:ln w="28575" cap="rnd">
              <a:solidFill>
                <a:schemeClr val="accent1"/>
              </a:solidFill>
              <a:round/>
            </a:ln>
            <a:effectLst/>
          </c:spPr>
          <c:marker>
            <c:symbol val="none"/>
          </c:marker>
          <c:dLbls>
            <c:dLbl>
              <c:idx val="5"/>
              <c:spPr>
                <a:solidFill>
                  <a:srgbClr val="FFFF00"/>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0-0210-4B98-BC7C-DB3A956B608E}"/>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'2.CPI YOY Analysis'!$F$12:$F$18</c:f>
              <c:numCache>
                <c:formatCode>General</c:formatCode>
                <c:ptCount val="7"/>
                <c:pt idx="0">
                  <c:v>2017</c:v>
                </c:pt>
                <c:pt idx="1">
                  <c:v>2018</c:v>
                </c:pt>
                <c:pt idx="2">
                  <c:v>2019</c:v>
                </c:pt>
                <c:pt idx="3">
                  <c:v>2020</c:v>
                </c:pt>
                <c:pt idx="4">
                  <c:v>2021</c:v>
                </c:pt>
                <c:pt idx="5">
                  <c:v>2022</c:v>
                </c:pt>
                <c:pt idx="6">
                  <c:v>2023</c:v>
                </c:pt>
              </c:numCache>
            </c:numRef>
          </c:cat>
          <c:val>
            <c:numRef>
              <c:f>'2.CPI YOY Analysis'!$J$12:$J$18</c:f>
              <c:numCache>
                <c:formatCode>0.0%</c:formatCode>
                <c:ptCount val="7"/>
                <c:pt idx="0">
                  <c:v>3.8888888888888931E-2</c:v>
                </c:pt>
                <c:pt idx="1">
                  <c:v>4.278074866310156E-2</c:v>
                </c:pt>
                <c:pt idx="2">
                  <c:v>2.8571428571428612E-2</c:v>
                </c:pt>
                <c:pt idx="3">
                  <c:v>5.840455840455832E-2</c:v>
                </c:pt>
                <c:pt idx="4">
                  <c:v>5.5181695827725558E-2</c:v>
                </c:pt>
                <c:pt idx="5">
                  <c:v>6.9515306122448828E-2</c:v>
                </c:pt>
                <c:pt idx="6">
                  <c:v>5.6648777579010143E-2</c:v>
                </c:pt>
              </c:numCache>
            </c:numRef>
          </c:val>
          <c:smooth val="0"/>
          <c:extLst>
            <c:ext xmlns:c16="http://schemas.microsoft.com/office/drawing/2014/chart" uri="{C3380CC4-5D6E-409C-BE32-E72D297353CC}">
              <c16:uniqueId val="{00000001-0210-4B98-BC7C-DB3A956B608E}"/>
            </c:ext>
          </c:extLst>
        </c:ser>
        <c:dLbls>
          <c:dLblPos val="t"/>
          <c:showLegendKey val="0"/>
          <c:showVal val="1"/>
          <c:showCatName val="0"/>
          <c:showSerName val="0"/>
          <c:showPercent val="0"/>
          <c:showBubbleSize val="0"/>
        </c:dLbls>
        <c:smooth val="0"/>
        <c:axId val="1903718704"/>
        <c:axId val="2061548784"/>
      </c:lineChart>
      <c:catAx>
        <c:axId val="190371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48784"/>
        <c:crosses val="autoZero"/>
        <c:auto val="1"/>
        <c:lblAlgn val="ctr"/>
        <c:lblOffset val="100"/>
        <c:noMultiLvlLbl val="0"/>
      </c:catAx>
      <c:valAx>
        <c:axId val="206154878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718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t>Month-on-Month Food Inflation Trend (July 2022 – May 2023)</a:t>
            </a:r>
            <a:endParaRPr lang="en-IN" b="1" u="sng"/>
          </a:p>
        </c:rich>
      </c:tx>
      <c:overlay val="0"/>
      <c:spPr>
        <a:solidFill>
          <a:schemeClr val="accent5">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spPr>
            <a:ln w="28575" cap="rnd">
              <a:solidFill>
                <a:schemeClr val="accent1"/>
              </a:solidFill>
              <a:round/>
            </a:ln>
            <a:effectLst/>
          </c:spPr>
          <c:marker>
            <c:symbol val="none"/>
          </c:marker>
          <c:dLbls>
            <c:dLbl>
              <c:idx val="7"/>
              <c:spPr>
                <a:solidFill>
                  <a:srgbClr val="FFFF0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B050"/>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9081-49B1-906F-22A9BE38E6A3}"/>
                </c:ext>
              </c:extLst>
            </c:dLbl>
            <c:dLbl>
              <c:idx val="1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2-9081-49B1-906F-22A9BE38E6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'3.Food Inflation Analysis'!$A$8:$A$18</c:f>
              <c:strCache>
                <c:ptCount val="11"/>
                <c:pt idx="0">
                  <c:v>July</c:v>
                </c:pt>
                <c:pt idx="1">
                  <c:v>August</c:v>
                </c:pt>
                <c:pt idx="2">
                  <c:v>September</c:v>
                </c:pt>
                <c:pt idx="3">
                  <c:v>October</c:v>
                </c:pt>
                <c:pt idx="4">
                  <c:v>November</c:v>
                </c:pt>
                <c:pt idx="5">
                  <c:v>December</c:v>
                </c:pt>
                <c:pt idx="6">
                  <c:v>January</c:v>
                </c:pt>
                <c:pt idx="7">
                  <c:v>February</c:v>
                </c:pt>
                <c:pt idx="8">
                  <c:v>March</c:v>
                </c:pt>
                <c:pt idx="9">
                  <c:v>April</c:v>
                </c:pt>
                <c:pt idx="10">
                  <c:v>May</c:v>
                </c:pt>
              </c:strCache>
            </c:strRef>
          </c:cat>
          <c:val>
            <c:numRef>
              <c:f>'3.Food Inflation Analysis'!$P$8:$P$18</c:f>
              <c:numCache>
                <c:formatCode>0.00%</c:formatCode>
                <c:ptCount val="11"/>
                <c:pt idx="0">
                  <c:v>1.4918190567855456E-3</c:v>
                </c:pt>
                <c:pt idx="1">
                  <c:v>8.6492720196037045E-4</c:v>
                </c:pt>
                <c:pt idx="2">
                  <c:v>5.0890585241729841E-3</c:v>
                </c:pt>
                <c:pt idx="3">
                  <c:v>7.4038691187009575E-3</c:v>
                </c:pt>
                <c:pt idx="4">
                  <c:v>-8.060692271222035E-4</c:v>
                </c:pt>
                <c:pt idx="5">
                  <c:v>-6.7384805200967207E-3</c:v>
                </c:pt>
                <c:pt idx="6">
                  <c:v>4.0131861831733274E-3</c:v>
                </c:pt>
                <c:pt idx="7">
                  <c:v>-7.3280989769212903E-3</c:v>
                </c:pt>
                <c:pt idx="8">
                  <c:v>4.7936340539719595E-5</c:v>
                </c:pt>
                <c:pt idx="9">
                  <c:v>4.7454702329597096E-3</c:v>
                </c:pt>
                <c:pt idx="10">
                  <c:v>7.9194694909593567E-3</c:v>
                </c:pt>
              </c:numCache>
            </c:numRef>
          </c:val>
          <c:smooth val="0"/>
          <c:extLst>
            <c:ext xmlns:c16="http://schemas.microsoft.com/office/drawing/2014/chart" uri="{C3380CC4-5D6E-409C-BE32-E72D297353CC}">
              <c16:uniqueId val="{00000000-9081-49B1-906F-22A9BE38E6A3}"/>
            </c:ext>
          </c:extLst>
        </c:ser>
        <c:dLbls>
          <c:dLblPos val="t"/>
          <c:showLegendKey val="0"/>
          <c:showVal val="1"/>
          <c:showCatName val="0"/>
          <c:showSerName val="0"/>
          <c:showPercent val="0"/>
          <c:showBubbleSize val="0"/>
        </c:dLbls>
        <c:smooth val="0"/>
        <c:axId val="667913567"/>
        <c:axId val="509857135"/>
      </c:lineChart>
      <c:catAx>
        <c:axId val="66791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857135"/>
        <c:crosses val="autoZero"/>
        <c:auto val="1"/>
        <c:lblAlgn val="ctr"/>
        <c:lblOffset val="100"/>
        <c:noMultiLvlLbl val="0"/>
      </c:catAx>
      <c:valAx>
        <c:axId val="509857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9135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sng" strike="noStrike" kern="1200" spc="0" baseline="0">
                <a:solidFill>
                  <a:sysClr val="windowText" lastClr="000000">
                    <a:lumMod val="65000"/>
                    <a:lumOff val="35000"/>
                  </a:sysClr>
                </a:solidFill>
                <a:latin typeface="+mn-lt"/>
                <a:ea typeface="+mn-ea"/>
                <a:cs typeface="+mn-cs"/>
              </a:defRPr>
            </a:pPr>
            <a:r>
              <a:rPr lang="en-IN" sz="1400" b="1" i="0" u="sng" strike="noStrike" baseline="0">
                <a:effectLst/>
              </a:rPr>
              <a:t>YoY Inflation by Food Category (Jun-22 to May-23)</a:t>
            </a:r>
            <a:r>
              <a:rPr lang="en-IN" sz="1400" b="0" i="0" u="sng" strike="noStrike" baseline="0">
                <a:effectLst/>
              </a:rPr>
              <a:t> </a:t>
            </a:r>
            <a:endParaRPr lang="en-IN" u="sng"/>
          </a:p>
        </c:rich>
      </c:tx>
      <c:layout>
        <c:manualLayout>
          <c:xMode val="edge"/>
          <c:yMode val="edge"/>
          <c:x val="0.17895356120257694"/>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sng" strike="noStrike" kern="1200" spc="0" baseline="0">
              <a:solidFill>
                <a:sysClr val="windowText" lastClr="000000">
                  <a:lumMod val="65000"/>
                  <a:lumOff val="35000"/>
                </a:sysClr>
              </a:solidFill>
              <a:latin typeface="+mn-lt"/>
              <a:ea typeface="+mn-ea"/>
              <a:cs typeface="+mn-cs"/>
            </a:defRPr>
          </a:pPr>
          <a:endParaRPr lang="en-IN"/>
        </a:p>
      </c:txPr>
    </c:title>
    <c:autoTitleDeleted val="0"/>
    <c:plotArea>
      <c:layout/>
      <c:barChart>
        <c:barDir val="bar"/>
        <c:grouping val="clustered"/>
        <c:varyColors val="0"/>
        <c:ser>
          <c:idx val="0"/>
          <c:order val="0"/>
          <c:tx>
            <c:strRef>
              <c:f>'3.Food Inflation Analysis'!$F$39</c:f>
              <c:strCache>
                <c:ptCount val="1"/>
                <c:pt idx="0">
                  <c:v>Cereals and products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'3.Food Inflation Analysis'!$I$38</c:f>
              <c:strCache>
                <c:ptCount val="1"/>
                <c:pt idx="0">
                  <c:v>Absolute Change</c:v>
                </c:pt>
              </c:strCache>
            </c:strRef>
          </c:cat>
          <c:val>
            <c:numRef>
              <c:f>'3.Food Inflation Analysis'!$I$39</c:f>
              <c:numCache>
                <c:formatCode>0.0%</c:formatCode>
                <c:ptCount val="1"/>
                <c:pt idx="0">
                  <c:v>0.1206451612903225</c:v>
                </c:pt>
              </c:numCache>
            </c:numRef>
          </c:val>
          <c:extLst>
            <c:ext xmlns:c16="http://schemas.microsoft.com/office/drawing/2014/chart" uri="{C3380CC4-5D6E-409C-BE32-E72D297353CC}">
              <c16:uniqueId val="{00000000-594C-421A-957C-AB2FBD92E7D7}"/>
            </c:ext>
          </c:extLst>
        </c:ser>
        <c:ser>
          <c:idx val="1"/>
          <c:order val="1"/>
          <c:tx>
            <c:strRef>
              <c:f>'3.Food Inflation Analysis'!$F$40</c:f>
              <c:strCache>
                <c:ptCount val="1"/>
                <c:pt idx="0">
                  <c:v>Meat and fish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'3.Food Inflation Analysis'!$I$38</c:f>
              <c:strCache>
                <c:ptCount val="1"/>
                <c:pt idx="0">
                  <c:v>Absolute Change</c:v>
                </c:pt>
              </c:strCache>
            </c:strRef>
          </c:cat>
          <c:val>
            <c:numRef>
              <c:f>'3.Food Inflation Analysis'!$I$40</c:f>
              <c:numCache>
                <c:formatCode>0.0%</c:formatCode>
                <c:ptCount val="1"/>
                <c:pt idx="0">
                  <c:v>-2.3245214220601614E-2</c:v>
                </c:pt>
              </c:numCache>
            </c:numRef>
          </c:val>
          <c:extLst>
            <c:ext xmlns:c16="http://schemas.microsoft.com/office/drawing/2014/chart" uri="{C3380CC4-5D6E-409C-BE32-E72D297353CC}">
              <c16:uniqueId val="{00000001-594C-421A-957C-AB2FBD92E7D7}"/>
            </c:ext>
          </c:extLst>
        </c:ser>
        <c:ser>
          <c:idx val="2"/>
          <c:order val="2"/>
          <c:tx>
            <c:strRef>
              <c:f>'3.Food Inflation Analysis'!$F$41</c:f>
              <c:strCache>
                <c:ptCount val="1"/>
                <c:pt idx="0">
                  <c:v>Egg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'3.Food Inflation Analysis'!$I$38</c:f>
              <c:strCache>
                <c:ptCount val="1"/>
                <c:pt idx="0">
                  <c:v>Absolute Change</c:v>
                </c:pt>
              </c:strCache>
            </c:strRef>
          </c:cat>
          <c:val>
            <c:numRef>
              <c:f>'3.Food Inflation Analysis'!$I$41</c:f>
              <c:numCache>
                <c:formatCode>0.0%</c:formatCode>
                <c:ptCount val="1"/>
                <c:pt idx="0">
                  <c:v>1.4051522248243426E-2</c:v>
                </c:pt>
              </c:numCache>
            </c:numRef>
          </c:val>
          <c:extLst>
            <c:ext xmlns:c16="http://schemas.microsoft.com/office/drawing/2014/chart" uri="{C3380CC4-5D6E-409C-BE32-E72D297353CC}">
              <c16:uniqueId val="{00000002-594C-421A-957C-AB2FBD92E7D7}"/>
            </c:ext>
          </c:extLst>
        </c:ser>
        <c:ser>
          <c:idx val="3"/>
          <c:order val="3"/>
          <c:tx>
            <c:strRef>
              <c:f>'3.Food Inflation Analysis'!$F$42</c:f>
              <c:strCache>
                <c:ptCount val="1"/>
                <c:pt idx="0">
                  <c:v>Milk and products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'3.Food Inflation Analysis'!$I$38</c:f>
              <c:strCache>
                <c:ptCount val="1"/>
                <c:pt idx="0">
                  <c:v>Absolute Change</c:v>
                </c:pt>
              </c:strCache>
            </c:strRef>
          </c:cat>
          <c:val>
            <c:numRef>
              <c:f>'3.Food Inflation Analysis'!$I$42</c:f>
              <c:numCache>
                <c:formatCode>0.0%</c:formatCode>
                <c:ptCount val="1"/>
                <c:pt idx="0">
                  <c:v>8.2629674306393175E-2</c:v>
                </c:pt>
              </c:numCache>
            </c:numRef>
          </c:val>
          <c:extLst>
            <c:ext xmlns:c16="http://schemas.microsoft.com/office/drawing/2014/chart" uri="{C3380CC4-5D6E-409C-BE32-E72D297353CC}">
              <c16:uniqueId val="{00000003-594C-421A-957C-AB2FBD92E7D7}"/>
            </c:ext>
          </c:extLst>
        </c:ser>
        <c:ser>
          <c:idx val="4"/>
          <c:order val="4"/>
          <c:tx>
            <c:strRef>
              <c:f>'3.Food Inflation Analysis'!$F$43</c:f>
              <c:strCache>
                <c:ptCount val="1"/>
                <c:pt idx="0">
                  <c:v>Oils and fats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'3.Food Inflation Analysis'!$I$38</c:f>
              <c:strCache>
                <c:ptCount val="1"/>
                <c:pt idx="0">
                  <c:v>Absolute Change</c:v>
                </c:pt>
              </c:strCache>
            </c:strRef>
          </c:cat>
          <c:val>
            <c:numRef>
              <c:f>'3.Food Inflation Analysis'!$I$43</c:f>
              <c:numCache>
                <c:formatCode>0.0%</c:formatCode>
                <c:ptCount val="1"/>
                <c:pt idx="0">
                  <c:v>-0.15380786460925835</c:v>
                </c:pt>
              </c:numCache>
            </c:numRef>
          </c:val>
          <c:extLst>
            <c:ext xmlns:c16="http://schemas.microsoft.com/office/drawing/2014/chart" uri="{C3380CC4-5D6E-409C-BE32-E72D297353CC}">
              <c16:uniqueId val="{00000004-594C-421A-957C-AB2FBD92E7D7}"/>
            </c:ext>
          </c:extLst>
        </c:ser>
        <c:ser>
          <c:idx val="5"/>
          <c:order val="5"/>
          <c:tx>
            <c:strRef>
              <c:f>'3.Food Inflation Analysis'!$F$44</c:f>
              <c:strCache>
                <c:ptCount val="1"/>
                <c:pt idx="0">
                  <c:v>Fruits</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'3.Food Inflation Analysis'!$I$38</c:f>
              <c:strCache>
                <c:ptCount val="1"/>
                <c:pt idx="0">
                  <c:v>Absolute Change</c:v>
                </c:pt>
              </c:strCache>
            </c:strRef>
          </c:cat>
          <c:val>
            <c:numRef>
              <c:f>'3.Food Inflation Analysis'!$I$44</c:f>
              <c:numCache>
                <c:formatCode>0.0%</c:formatCode>
                <c:ptCount val="1"/>
                <c:pt idx="0">
                  <c:v>1.4731879787860933E-2</c:v>
                </c:pt>
              </c:numCache>
            </c:numRef>
          </c:val>
          <c:extLst>
            <c:ext xmlns:c16="http://schemas.microsoft.com/office/drawing/2014/chart" uri="{C3380CC4-5D6E-409C-BE32-E72D297353CC}">
              <c16:uniqueId val="{00000005-594C-421A-957C-AB2FBD92E7D7}"/>
            </c:ext>
          </c:extLst>
        </c:ser>
        <c:ser>
          <c:idx val="6"/>
          <c:order val="6"/>
          <c:tx>
            <c:strRef>
              <c:f>'3.Food Inflation Analysis'!$F$45</c:f>
              <c:strCache>
                <c:ptCount val="1"/>
                <c:pt idx="0">
                  <c:v>Vegetables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'3.Food Inflation Analysis'!$I$38</c:f>
              <c:strCache>
                <c:ptCount val="1"/>
                <c:pt idx="0">
                  <c:v>Absolute Change</c:v>
                </c:pt>
              </c:strCache>
            </c:strRef>
          </c:cat>
          <c:val>
            <c:numRef>
              <c:f>'3.Food Inflation Analysis'!$I$45</c:f>
              <c:numCache>
                <c:formatCode>0.0%</c:formatCode>
                <c:ptCount val="1"/>
                <c:pt idx="0">
                  <c:v>-0.11684037301151953</c:v>
                </c:pt>
              </c:numCache>
            </c:numRef>
          </c:val>
          <c:extLst>
            <c:ext xmlns:c16="http://schemas.microsoft.com/office/drawing/2014/chart" uri="{C3380CC4-5D6E-409C-BE32-E72D297353CC}">
              <c16:uniqueId val="{00000006-594C-421A-957C-AB2FBD92E7D7}"/>
            </c:ext>
          </c:extLst>
        </c:ser>
        <c:ser>
          <c:idx val="7"/>
          <c:order val="7"/>
          <c:tx>
            <c:strRef>
              <c:f>'3.Food Inflation Analysis'!$F$46</c:f>
              <c:strCache>
                <c:ptCount val="1"/>
                <c:pt idx="0">
                  <c:v>Pulses and products</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'3.Food Inflation Analysis'!$I$38</c:f>
              <c:strCache>
                <c:ptCount val="1"/>
                <c:pt idx="0">
                  <c:v>Absolute Change</c:v>
                </c:pt>
              </c:strCache>
            </c:strRef>
          </c:cat>
          <c:val>
            <c:numRef>
              <c:f>'3.Food Inflation Analysis'!$I$46</c:f>
              <c:numCache>
                <c:formatCode>0.0%</c:formatCode>
                <c:ptCount val="1"/>
                <c:pt idx="0">
                  <c:v>6.8776628119293873E-2</c:v>
                </c:pt>
              </c:numCache>
            </c:numRef>
          </c:val>
          <c:extLst>
            <c:ext xmlns:c16="http://schemas.microsoft.com/office/drawing/2014/chart" uri="{C3380CC4-5D6E-409C-BE32-E72D297353CC}">
              <c16:uniqueId val="{00000007-594C-421A-957C-AB2FBD92E7D7}"/>
            </c:ext>
          </c:extLst>
        </c:ser>
        <c:ser>
          <c:idx val="8"/>
          <c:order val="8"/>
          <c:tx>
            <c:strRef>
              <c:f>'3.Food Inflation Analysis'!$F$47</c:f>
              <c:strCache>
                <c:ptCount val="1"/>
                <c:pt idx="0">
                  <c:v>Sugar and Confectionery</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'3.Food Inflation Analysis'!$I$38</c:f>
              <c:strCache>
                <c:ptCount val="1"/>
                <c:pt idx="0">
                  <c:v>Absolute Change</c:v>
                </c:pt>
              </c:strCache>
            </c:strRef>
          </c:cat>
          <c:val>
            <c:numRef>
              <c:f>'3.Food Inflation Analysis'!$I$47</c:f>
              <c:numCache>
                <c:formatCode>0.0%</c:formatCode>
                <c:ptCount val="1"/>
                <c:pt idx="0">
                  <c:v>2.3352793994995805E-2</c:v>
                </c:pt>
              </c:numCache>
            </c:numRef>
          </c:val>
          <c:extLst>
            <c:ext xmlns:c16="http://schemas.microsoft.com/office/drawing/2014/chart" uri="{C3380CC4-5D6E-409C-BE32-E72D297353CC}">
              <c16:uniqueId val="{00000008-594C-421A-957C-AB2FBD92E7D7}"/>
            </c:ext>
          </c:extLst>
        </c:ser>
        <c:ser>
          <c:idx val="9"/>
          <c:order val="9"/>
          <c:tx>
            <c:strRef>
              <c:f>'3.Food Inflation Analysis'!$F$48</c:f>
              <c:strCache>
                <c:ptCount val="1"/>
                <c:pt idx="0">
                  <c:v>Spices</c:v>
                </c:pt>
              </c:strCache>
            </c:strRef>
          </c:tx>
          <c:spPr>
            <a:solidFill>
              <a:srgbClr val="FF0000"/>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'3.Food Inflation Analysis'!$I$38</c:f>
              <c:strCache>
                <c:ptCount val="1"/>
                <c:pt idx="0">
                  <c:v>Absolute Change</c:v>
                </c:pt>
              </c:strCache>
            </c:strRef>
          </c:cat>
          <c:val>
            <c:numRef>
              <c:f>'3.Food Inflation Analysis'!$I$48</c:f>
              <c:numCache>
                <c:formatCode>0.0%</c:formatCode>
                <c:ptCount val="1"/>
                <c:pt idx="0">
                  <c:v>0.16515232495991453</c:v>
                </c:pt>
              </c:numCache>
            </c:numRef>
          </c:val>
          <c:extLst>
            <c:ext xmlns:c16="http://schemas.microsoft.com/office/drawing/2014/chart" uri="{C3380CC4-5D6E-409C-BE32-E72D297353CC}">
              <c16:uniqueId val="{00000009-594C-421A-957C-AB2FBD92E7D7}"/>
            </c:ext>
          </c:extLst>
        </c:ser>
        <c:ser>
          <c:idx val="10"/>
          <c:order val="10"/>
          <c:tx>
            <c:strRef>
              <c:f>'3.Food Inflation Analysis'!$F$49</c:f>
              <c:strCache>
                <c:ptCount val="1"/>
                <c:pt idx="0">
                  <c:v>Non-alcoholic beverages</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'3.Food Inflation Analysis'!$I$38</c:f>
              <c:strCache>
                <c:ptCount val="1"/>
                <c:pt idx="0">
                  <c:v>Absolute Change</c:v>
                </c:pt>
              </c:strCache>
            </c:strRef>
          </c:cat>
          <c:val>
            <c:numRef>
              <c:f>'3.Food Inflation Analysis'!$I$49</c:f>
              <c:numCache>
                <c:formatCode>0.0%</c:formatCode>
                <c:ptCount val="1"/>
                <c:pt idx="0">
                  <c:v>3.2757593805836809E-2</c:v>
                </c:pt>
              </c:numCache>
            </c:numRef>
          </c:val>
          <c:extLst>
            <c:ext xmlns:c16="http://schemas.microsoft.com/office/drawing/2014/chart" uri="{C3380CC4-5D6E-409C-BE32-E72D297353CC}">
              <c16:uniqueId val="{0000000A-594C-421A-957C-AB2FBD92E7D7}"/>
            </c:ext>
          </c:extLst>
        </c:ser>
        <c:ser>
          <c:idx val="11"/>
          <c:order val="11"/>
          <c:tx>
            <c:strRef>
              <c:f>'3.Food Inflation Analysis'!$F$50</c:f>
              <c:strCache>
                <c:ptCount val="1"/>
                <c:pt idx="0">
                  <c:v>Food and beverages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'3.Food Inflation Analysis'!$I$38</c:f>
              <c:strCache>
                <c:ptCount val="1"/>
                <c:pt idx="0">
                  <c:v>Absolute Change</c:v>
                </c:pt>
              </c:strCache>
            </c:strRef>
          </c:cat>
          <c:val>
            <c:numRef>
              <c:f>'3.Food Inflation Analysis'!$I$50</c:f>
              <c:numCache>
                <c:formatCode>0.0%</c:formatCode>
                <c:ptCount val="1"/>
                <c:pt idx="0">
                  <c:v>2.4013722126929607E-2</c:v>
                </c:pt>
              </c:numCache>
            </c:numRef>
          </c:val>
          <c:extLst>
            <c:ext xmlns:c16="http://schemas.microsoft.com/office/drawing/2014/chart" uri="{C3380CC4-5D6E-409C-BE32-E72D297353CC}">
              <c16:uniqueId val="{0000000B-594C-421A-957C-AB2FBD92E7D7}"/>
            </c:ext>
          </c:extLst>
        </c:ser>
        <c:dLbls>
          <c:showLegendKey val="0"/>
          <c:showVal val="1"/>
          <c:showCatName val="0"/>
          <c:showSerName val="0"/>
          <c:showPercent val="0"/>
          <c:showBubbleSize val="0"/>
        </c:dLbls>
        <c:gapWidth val="150"/>
        <c:axId val="861787231"/>
        <c:axId val="509933935"/>
      </c:barChart>
      <c:catAx>
        <c:axId val="861787231"/>
        <c:scaling>
          <c:orientation val="minMax"/>
        </c:scaling>
        <c:delete val="1"/>
        <c:axPos val="l"/>
        <c:numFmt formatCode="General" sourceLinked="1"/>
        <c:majorTickMark val="none"/>
        <c:minorTickMark val="none"/>
        <c:tickLblPos val="nextTo"/>
        <c:crossAx val="509933935"/>
        <c:crosses val="autoZero"/>
        <c:auto val="0"/>
        <c:lblAlgn val="ctr"/>
        <c:lblOffset val="100"/>
        <c:noMultiLvlLbl val="0"/>
      </c:catAx>
      <c:valAx>
        <c:axId val="509933935"/>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787231"/>
        <c:crosses val="autoZero"/>
        <c:crossBetween val="between"/>
      </c:valAx>
      <c:spPr>
        <a:noFill/>
        <a:ln>
          <a:noFill/>
        </a:ln>
        <a:effectLst/>
      </c:spPr>
    </c:plotArea>
    <c:legend>
      <c:legendPos val="r"/>
      <c:layout>
        <c:manualLayout>
          <c:xMode val="edge"/>
          <c:yMode val="edge"/>
          <c:x val="0.82418187783345265"/>
          <c:y val="0.22890504943358764"/>
          <c:w val="0.164454485802911"/>
          <c:h val="0.728632042756313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COVID-19 Impact on CPI Inflation</a:t>
            </a:r>
            <a:endParaRPr lang="en-IN"/>
          </a:p>
        </c:rich>
      </c:tx>
      <c:overlay val="0"/>
      <c:spPr>
        <a:solidFill>
          <a:schemeClr val="accent6"/>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'4.COVID Inflation Analysis'!$R$3</c:f>
              <c:strCache>
                <c:ptCount val="1"/>
                <c:pt idx="0">
                  <c:v>Pre-COVID Avg YoY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'4.COVID Inflation Analysis'!$Q$4:$Q$6</c:f>
              <c:strCache>
                <c:ptCount val="3"/>
                <c:pt idx="0">
                  <c:v>Food</c:v>
                </c:pt>
                <c:pt idx="1">
                  <c:v>Essential Services</c:v>
                </c:pt>
                <c:pt idx="2">
                  <c:v>Health</c:v>
                </c:pt>
              </c:strCache>
            </c:strRef>
          </c:cat>
          <c:val>
            <c:numRef>
              <c:f>'4.COVID Inflation Analysis'!$R$4:$R$6</c:f>
              <c:numCache>
                <c:formatCode>0.00%</c:formatCode>
                <c:ptCount val="3"/>
                <c:pt idx="0">
                  <c:v>4.8561390202346094E-2</c:v>
                </c:pt>
                <c:pt idx="1">
                  <c:v>2.7262133051468605E-2</c:v>
                </c:pt>
                <c:pt idx="2">
                  <c:v>6.6277762994072939E-2</c:v>
                </c:pt>
              </c:numCache>
            </c:numRef>
          </c:val>
          <c:extLst>
            <c:ext xmlns:c16="http://schemas.microsoft.com/office/drawing/2014/chart" uri="{C3380CC4-5D6E-409C-BE32-E72D297353CC}">
              <c16:uniqueId val="{00000000-1DD1-43B6-B715-C38252B5BB5D}"/>
            </c:ext>
          </c:extLst>
        </c:ser>
        <c:ser>
          <c:idx val="1"/>
          <c:order val="1"/>
          <c:tx>
            <c:strRef>
              <c:f>'4.COVID Inflation Analysis'!$S$3</c:f>
              <c:strCache>
                <c:ptCount val="1"/>
                <c:pt idx="0">
                  <c:v>Post-COVID Avg YoY</c:v>
                </c:pt>
              </c:strCache>
            </c:strRef>
          </c:tx>
          <c:spPr>
            <a:solidFill>
              <a:schemeClr val="accent2"/>
            </a:solidFill>
            <a:ln>
              <a:noFill/>
            </a:ln>
            <a:effectLst/>
          </c:spPr>
          <c:invertIfNegative val="0"/>
          <c:dLbls>
            <c:dLbl>
              <c:idx val="0"/>
              <c:spPr>
                <a:solidFill>
                  <a:schemeClr val="bg1"/>
                </a:solid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1DD1-43B6-B715-C38252B5BB5D}"/>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'4.COVID Inflation Analysis'!$Q$4:$Q$6</c:f>
              <c:strCache>
                <c:ptCount val="3"/>
                <c:pt idx="0">
                  <c:v>Food</c:v>
                </c:pt>
                <c:pt idx="1">
                  <c:v>Essential Services</c:v>
                </c:pt>
                <c:pt idx="2">
                  <c:v>Health</c:v>
                </c:pt>
              </c:strCache>
            </c:strRef>
          </c:cat>
          <c:val>
            <c:numRef>
              <c:f>'4.COVID Inflation Analysis'!$S$4:$S$6</c:f>
              <c:numCache>
                <c:formatCode>0.00%</c:formatCode>
                <c:ptCount val="3"/>
                <c:pt idx="0">
                  <c:v>8.1946471652069419E-2</c:v>
                </c:pt>
                <c:pt idx="1">
                  <c:v>2.9809890785540454E-2</c:v>
                </c:pt>
                <c:pt idx="2">
                  <c:v>4.6161015926027386E-2</c:v>
                </c:pt>
              </c:numCache>
            </c:numRef>
          </c:val>
          <c:extLst>
            <c:ext xmlns:c16="http://schemas.microsoft.com/office/drawing/2014/chart" uri="{C3380CC4-5D6E-409C-BE32-E72D297353CC}">
              <c16:uniqueId val="{00000002-1DD1-43B6-B715-C38252B5BB5D}"/>
            </c:ext>
          </c:extLst>
        </c:ser>
        <c:dLbls>
          <c:dLblPos val="outEnd"/>
          <c:showLegendKey val="0"/>
          <c:showVal val="1"/>
          <c:showCatName val="0"/>
          <c:showSerName val="0"/>
          <c:showPercent val="0"/>
          <c:showBubbleSize val="0"/>
        </c:dLbls>
        <c:gapWidth val="219"/>
        <c:overlap val="-27"/>
        <c:axId val="813912320"/>
        <c:axId val="806414224"/>
      </c:barChart>
      <c:catAx>
        <c:axId val="813912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CPI Category</a:t>
                </a:r>
                <a:endParaRPr lang="en-IN"/>
              </a:p>
            </c:rich>
          </c:tx>
          <c:overlay val="0"/>
          <c:spPr>
            <a:solidFill>
              <a:schemeClr val="accent6">
                <a:lumMod val="40000"/>
                <a:lumOff val="6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414224"/>
        <c:crosses val="autoZero"/>
        <c:auto val="1"/>
        <c:lblAlgn val="ctr"/>
        <c:lblOffset val="100"/>
        <c:noMultiLvlLbl val="0"/>
      </c:catAx>
      <c:valAx>
        <c:axId val="806414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YoY Inflation (%)</a:t>
                </a:r>
                <a:endParaRPr lang="en-IN"/>
              </a:p>
            </c:rich>
          </c:tx>
          <c:overlay val="0"/>
          <c:spPr>
            <a:solidFill>
              <a:schemeClr val="accent6">
                <a:lumMod val="20000"/>
                <a:lumOff val="80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912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9</xdr:col>
      <xdr:colOff>457200</xdr:colOff>
      <xdr:row>19</xdr:row>
      <xdr:rowOff>38100</xdr:rowOff>
    </xdr:to>
    <xdr:pic>
      <xdr:nvPicPr>
        <xdr:cNvPr id="2" name="Picture 1">
          <a:extLst>
            <a:ext uri="{FF2B5EF4-FFF2-40B4-BE49-F238E27FC236}">
              <a16:creationId xmlns:a16="http://schemas.microsoft.com/office/drawing/2014/main" id="{05D97B69-9D90-6E58-D374-C930DB493B95}"/>
            </a:ext>
          </a:extLst>
        </xdr:cNvPr>
        <xdr:cNvPicPr>
          <a:picLocks noChangeAspect="1"/>
        </xdr:cNvPicPr>
      </xdr:nvPicPr>
      <xdr:blipFill>
        <a:blip xmlns:r="http://schemas.openxmlformats.org/officeDocument/2006/relationships" r:embed="rId1"/>
        <a:stretch>
          <a:fillRect/>
        </a:stretch>
      </xdr:blipFill>
      <xdr:spPr>
        <a:xfrm>
          <a:off x="0" y="1097280"/>
          <a:ext cx="5943600" cy="2415540"/>
        </a:xfrm>
        <a:prstGeom prst="rect">
          <a:avLst/>
        </a:prstGeom>
      </xdr:spPr>
    </xdr:pic>
    <xdr:clientData/>
  </xdr:twoCellAnchor>
  <xdr:twoCellAnchor editAs="oneCell">
    <xdr:from>
      <xdr:col>0</xdr:col>
      <xdr:colOff>38100</xdr:colOff>
      <xdr:row>19</xdr:row>
      <xdr:rowOff>15240</xdr:rowOff>
    </xdr:from>
    <xdr:to>
      <xdr:col>9</xdr:col>
      <xdr:colOff>457712</xdr:colOff>
      <xdr:row>40</xdr:row>
      <xdr:rowOff>122262</xdr:rowOff>
    </xdr:to>
    <xdr:pic>
      <xdr:nvPicPr>
        <xdr:cNvPr id="3" name="Picture 2">
          <a:extLst>
            <a:ext uri="{FF2B5EF4-FFF2-40B4-BE49-F238E27FC236}">
              <a16:creationId xmlns:a16="http://schemas.microsoft.com/office/drawing/2014/main" id="{8355CC98-1453-7F4F-0908-2C7A219FA3FE}"/>
            </a:ext>
          </a:extLst>
        </xdr:cNvPr>
        <xdr:cNvPicPr>
          <a:picLocks noChangeAspect="1"/>
        </xdr:cNvPicPr>
      </xdr:nvPicPr>
      <xdr:blipFill>
        <a:blip xmlns:r="http://schemas.openxmlformats.org/officeDocument/2006/relationships" r:embed="rId2"/>
        <a:stretch>
          <a:fillRect/>
        </a:stretch>
      </xdr:blipFill>
      <xdr:spPr>
        <a:xfrm>
          <a:off x="38100" y="3489960"/>
          <a:ext cx="5906012" cy="3947502"/>
        </a:xfrm>
        <a:prstGeom prst="rect">
          <a:avLst/>
        </a:prstGeom>
      </xdr:spPr>
    </xdr:pic>
    <xdr:clientData/>
  </xdr:twoCellAnchor>
  <xdr:twoCellAnchor editAs="oneCell">
    <xdr:from>
      <xdr:col>0</xdr:col>
      <xdr:colOff>0</xdr:colOff>
      <xdr:row>40</xdr:row>
      <xdr:rowOff>60960</xdr:rowOff>
    </xdr:from>
    <xdr:to>
      <xdr:col>9</xdr:col>
      <xdr:colOff>495300</xdr:colOff>
      <xdr:row>61</xdr:row>
      <xdr:rowOff>122248</xdr:rowOff>
    </xdr:to>
    <xdr:pic>
      <xdr:nvPicPr>
        <xdr:cNvPr id="5" name="Picture 4">
          <a:extLst>
            <a:ext uri="{FF2B5EF4-FFF2-40B4-BE49-F238E27FC236}">
              <a16:creationId xmlns:a16="http://schemas.microsoft.com/office/drawing/2014/main" id="{00CFEEA9-7A7A-4B6D-B01E-ABF912946DE8}"/>
            </a:ext>
          </a:extLst>
        </xdr:cNvPr>
        <xdr:cNvPicPr>
          <a:picLocks noChangeAspect="1"/>
        </xdr:cNvPicPr>
      </xdr:nvPicPr>
      <xdr:blipFill>
        <a:blip xmlns:r="http://schemas.openxmlformats.org/officeDocument/2006/relationships" r:embed="rId3"/>
        <a:stretch>
          <a:fillRect/>
        </a:stretch>
      </xdr:blipFill>
      <xdr:spPr>
        <a:xfrm>
          <a:off x="0" y="7376160"/>
          <a:ext cx="5981700" cy="39017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60960</xdr:colOff>
      <xdr:row>22</xdr:row>
      <xdr:rowOff>19050</xdr:rowOff>
    </xdr:from>
    <xdr:to>
      <xdr:col>13</xdr:col>
      <xdr:colOff>83820</xdr:colOff>
      <xdr:row>40</xdr:row>
      <xdr:rowOff>160020</xdr:rowOff>
    </xdr:to>
    <xdr:graphicFrame macro="">
      <xdr:nvGraphicFramePr>
        <xdr:cNvPr id="6" name="Chart 5">
          <a:extLst>
            <a:ext uri="{FF2B5EF4-FFF2-40B4-BE49-F238E27FC236}">
              <a16:creationId xmlns:a16="http://schemas.microsoft.com/office/drawing/2014/main" id="{C8F37B1E-625C-5EDA-42E4-3163DD80A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144780</xdr:colOff>
      <xdr:row>22</xdr:row>
      <xdr:rowOff>0</xdr:rowOff>
    </xdr:from>
    <xdr:to>
      <xdr:col>19</xdr:col>
      <xdr:colOff>190500</xdr:colOff>
      <xdr:row>40</xdr:row>
      <xdr:rowOff>144780</xdr:rowOff>
    </xdr:to>
    <xdr:graphicFrame macro="">
      <xdr:nvGraphicFramePr>
        <xdr:cNvPr id="8" name="Chart 7">
          <a:extLst>
            <a:ext uri="{FF2B5EF4-FFF2-40B4-BE49-F238E27FC236}">
              <a16:creationId xmlns:a16="http://schemas.microsoft.com/office/drawing/2014/main" id="{51981AF3-6E02-40FA-9478-AD4CBA79B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213360</xdr:colOff>
      <xdr:row>22</xdr:row>
      <xdr:rowOff>0</xdr:rowOff>
    </xdr:from>
    <xdr:to>
      <xdr:col>27</xdr:col>
      <xdr:colOff>304800</xdr:colOff>
      <xdr:row>40</xdr:row>
      <xdr:rowOff>144780</xdr:rowOff>
    </xdr:to>
    <xdr:graphicFrame macro="">
      <xdr:nvGraphicFramePr>
        <xdr:cNvPr id="10" name="Chart 9">
          <a:extLst>
            <a:ext uri="{FF2B5EF4-FFF2-40B4-BE49-F238E27FC236}">
              <a16:creationId xmlns:a16="http://schemas.microsoft.com/office/drawing/2014/main" id="{89172D6A-3656-4B6C-9557-A72003A86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0</xdr:colOff>
      <xdr:row>8</xdr:row>
      <xdr:rowOff>0</xdr:rowOff>
    </xdr:from>
    <xdr:to>
      <xdr:col>19</xdr:col>
      <xdr:colOff>152400</xdr:colOff>
      <xdr:row>19</xdr:row>
      <xdr:rowOff>144780</xdr:rowOff>
    </xdr:to>
    <xdr:graphicFrame macro="">
      <xdr:nvGraphicFramePr>
        <xdr:cNvPr id="12" name="Chart 11">
          <a:extLst>
            <a:ext uri="{FF2B5EF4-FFF2-40B4-BE49-F238E27FC236}">
              <a16:creationId xmlns:a16="http://schemas.microsoft.com/office/drawing/2014/main" id="{646895E6-EDAF-4E89-AD32-65D407BFA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495300</xdr:colOff>
      <xdr:row>19</xdr:row>
      <xdr:rowOff>7620</xdr:rowOff>
    </xdr:from>
    <xdr:to>
      <xdr:col>14</xdr:col>
      <xdr:colOff>335280</xdr:colOff>
      <xdr:row>34</xdr:row>
      <xdr:rowOff>3810</xdr:rowOff>
    </xdr:to>
    <xdr:graphicFrame macro="">
      <xdr:nvGraphicFramePr>
        <xdr:cNvPr id="6" name="Chart 5">
          <a:extLst>
            <a:ext uri="{FF2B5EF4-FFF2-40B4-BE49-F238E27FC236}">
              <a16:creationId xmlns:a16="http://schemas.microsoft.com/office/drawing/2014/main" id="{B1BB3E40-2B85-42E8-BE35-E3772709E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160020</xdr:colOff>
      <xdr:row>46</xdr:row>
      <xdr:rowOff>502920</xdr:rowOff>
    </xdr:from>
    <xdr:to>
      <xdr:col>10</xdr:col>
      <xdr:colOff>76200</xdr:colOff>
      <xdr:row>48</xdr:row>
      <xdr:rowOff>53340</xdr:rowOff>
    </xdr:to>
    <xdr:sp macro="" textlink="">
      <xdr:nvSpPr>
        <xdr:cNvPr id="8" name="Arrow: Right 7">
          <a:extLst>
            <a:ext uri="{FF2B5EF4-FFF2-40B4-BE49-F238E27FC236}">
              <a16:creationId xmlns:a16="http://schemas.microsoft.com/office/drawing/2014/main" id="{BCBC5125-2A42-A62A-5AD2-7BB1A9B23ABA}"/>
            </a:ext>
          </a:extLst>
        </xdr:cNvPr>
        <xdr:cNvSpPr/>
      </xdr:nvSpPr>
      <xdr:spPr>
        <a:xfrm>
          <a:off x="6217920" y="10378440"/>
          <a:ext cx="525780" cy="281940"/>
        </a:xfrm>
        <a:prstGeom prst="rightArrow">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10</xdr:col>
      <xdr:colOff>99060</xdr:colOff>
      <xdr:row>46</xdr:row>
      <xdr:rowOff>335280</xdr:rowOff>
    </xdr:from>
    <xdr:to>
      <xdr:col>12</xdr:col>
      <xdr:colOff>502920</xdr:colOff>
      <xdr:row>48</xdr:row>
      <xdr:rowOff>342900</xdr:rowOff>
    </xdr:to>
    <xdr:sp macro="" textlink="">
      <xdr:nvSpPr>
        <xdr:cNvPr id="9" name="Rectangle: Diagonal Corners Rounded 8">
          <a:extLst>
            <a:ext uri="{FF2B5EF4-FFF2-40B4-BE49-F238E27FC236}">
              <a16:creationId xmlns:a16="http://schemas.microsoft.com/office/drawing/2014/main" id="{F7ABF7AF-AB40-4226-1666-E735F6C5CE35}"/>
            </a:ext>
          </a:extLst>
        </xdr:cNvPr>
        <xdr:cNvSpPr/>
      </xdr:nvSpPr>
      <xdr:spPr>
        <a:xfrm>
          <a:off x="6766560" y="10226040"/>
          <a:ext cx="1623060" cy="73914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t>Highest Inflation Contributor: Spices (+30.9)</a:t>
          </a:r>
          <a:endParaRPr lang="en-IN" sz="1100" b="1"/>
        </a:p>
      </xdr:txBody>
    </xdr:sp>
    <xdr:clientData/>
  </xdr:twoCellAnchor>
  <xdr:twoCellAnchor>
    <xdr:from>
      <xdr:col>10</xdr:col>
      <xdr:colOff>0</xdr:colOff>
      <xdr:row>36</xdr:row>
      <xdr:rowOff>99060</xdr:rowOff>
    </xdr:from>
    <xdr:to>
      <xdr:col>20</xdr:col>
      <xdr:colOff>358140</xdr:colOff>
      <xdr:row>46</xdr:row>
      <xdr:rowOff>281940</xdr:rowOff>
    </xdr:to>
    <xdr:graphicFrame macro="">
      <xdr:nvGraphicFramePr>
        <xdr:cNvPr id="11" name="Chart 10">
          <a:extLst>
            <a:ext uri="{FF2B5EF4-FFF2-40B4-BE49-F238E27FC236}">
              <a16:creationId xmlns:a16="http://schemas.microsoft.com/office/drawing/2014/main" id="{9E507B96-9EBC-4960-8E76-AC7EFFB7F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0.62727</cdr:x>
      <cdr:y>0.23575</cdr:y>
    </cdr:from>
    <cdr:to>
      <cdr:x>0.66023</cdr:x>
      <cdr:y>0.34974</cdr:y>
    </cdr:to>
    <cdr:sp macro="" textlink="">
      <cdr:nvSpPr>
        <cdr:cNvPr id="2" name="Arrow: Up 1">
          <a:extLst xmlns:a="http://schemas.openxmlformats.org/drawingml/2006/main">
            <a:ext uri="{FF2B5EF4-FFF2-40B4-BE49-F238E27FC236}">
              <a16:creationId xmlns:a16="http://schemas.microsoft.com/office/drawing/2014/main" id="{C75BD324-3CC4-7F79-F17B-F6CE25E3FF41}"/>
            </a:ext>
          </a:extLst>
        </cdr:cNvPr>
        <cdr:cNvSpPr/>
      </cdr:nvSpPr>
      <cdr:spPr>
        <a:xfrm xmlns:a="http://schemas.openxmlformats.org/drawingml/2006/main">
          <a:off x="4206222" y="693416"/>
          <a:ext cx="220998" cy="335284"/>
        </a:xfrm>
        <a:prstGeom xmlns:a="http://schemas.openxmlformats.org/drawingml/2006/main" prst="up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0.60341</cdr:x>
      <cdr:y>0.11399</cdr:y>
    </cdr:from>
    <cdr:to>
      <cdr:x>0.77045</cdr:x>
      <cdr:y>0.23057</cdr:y>
    </cdr:to>
    <cdr:sp macro="" textlink="">
      <cdr:nvSpPr>
        <cdr:cNvPr id="5" name="Rectangle: Diagonal Corners Rounded 4">
          <a:extLst xmlns:a="http://schemas.openxmlformats.org/drawingml/2006/main">
            <a:ext uri="{FF2B5EF4-FFF2-40B4-BE49-F238E27FC236}">
              <a16:creationId xmlns:a16="http://schemas.microsoft.com/office/drawing/2014/main" id="{95B1BF53-29D5-7FAF-57B4-FFBCC41F8A2B}"/>
            </a:ext>
          </a:extLst>
        </cdr:cNvPr>
        <cdr:cNvSpPr/>
      </cdr:nvSpPr>
      <cdr:spPr>
        <a:xfrm xmlns:a="http://schemas.openxmlformats.org/drawingml/2006/main">
          <a:off x="4046220" y="335280"/>
          <a:ext cx="1120140" cy="342900"/>
        </a:xfrm>
        <a:prstGeom xmlns:a="http://schemas.openxmlformats.org/drawingml/2006/main" prst="round2DiagRect">
          <a:avLst>
            <a:gd name="adj1" fmla="val 0"/>
            <a:gd name="adj2" fmla="val 0"/>
          </a:avLst>
        </a:prstGeom>
      </cdr:spPr>
      <cdr:style>
        <a:lnRef xmlns:a="http://schemas.openxmlformats.org/drawingml/2006/main" idx="1">
          <a:schemeClr val="accent3"/>
        </a:lnRef>
        <a:fillRef xmlns:a="http://schemas.openxmlformats.org/drawingml/2006/main" idx="3">
          <a:schemeClr val="accent3"/>
        </a:fillRef>
        <a:effectRef xmlns:a="http://schemas.openxmlformats.org/drawingml/2006/main" idx="2">
          <a:schemeClr val="accent3"/>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700" b="1" i="1" u="sng" kern="1200">
              <a:solidFill>
                <a:schemeClr val="bg1"/>
              </a:solidFill>
            </a:rPr>
            <a:t>Highest inflation Contributor : Spices</a:t>
          </a:r>
        </a:p>
      </cdr:txBody>
    </cdr:sp>
  </cdr:relSizeAnchor>
</c:userShapes>
</file>

<file path=xl/drawings/drawing6.xml><?xml version="1.0" encoding="utf-8"?>
<xdr:wsDr xmlns:xdr="http://schemas.openxmlformats.org/drawingml/2006/spreadsheetDrawing" xmlns:a="http://schemas.openxmlformats.org/drawingml/2006/main">
  <xdr:twoCellAnchor>
    <xdr:from>
      <xdr:col>3</xdr:col>
      <xdr:colOff>0</xdr:colOff>
      <xdr:row>54</xdr:row>
      <xdr:rowOff>0</xdr:rowOff>
    </xdr:from>
    <xdr:to>
      <xdr:col>8</xdr:col>
      <xdr:colOff>521369</xdr:colOff>
      <xdr:row>68</xdr:row>
      <xdr:rowOff>104942</xdr:rowOff>
    </xdr:to>
    <xdr:graphicFrame macro="">
      <xdr:nvGraphicFramePr>
        <xdr:cNvPr id="4" name="Chart 3">
          <a:extLst>
            <a:ext uri="{FF2B5EF4-FFF2-40B4-BE49-F238E27FC236}">
              <a16:creationId xmlns:a16="http://schemas.microsoft.com/office/drawing/2014/main" id="{ED0E37DD-20FA-4FAD-AD18-C635D9994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414A67-1912-4E5A-A2FA-196669EEB8AD}"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A34111D3-DF09-48A2-992B-BBBCF796548E}"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679BBC-9FD4-4DFC-B54D-F1195F0E1C55}" name="All_India_Index_Upto_April23__1" displayName="All_India_Index_Upto_April23__1" ref="A1:AD373" tableType="queryTable" totalsRowShown="0">
  <autoFilter ref="A1:AD373" xr:uid="{A3679BBC-9FD4-4DFC-B54D-F1195F0E1C55}"/>
  <tableColumns count="30">
    <tableColumn id="1" xr3:uid="{48A438D0-97CB-419D-8C09-5E77C424B5A6}" uniqueName="1" name="Sector" queryTableFieldId="1" dataDxfId="3"/>
    <tableColumn id="2" xr3:uid="{7DB669A8-E0BB-437B-B962-57E6C76CE467}" uniqueName="2" name="Year" queryTableFieldId="2"/>
    <tableColumn id="3" xr3:uid="{9902AF30-B086-41E0-87FE-2ED702A988EE}" uniqueName="3" name="Month" queryTableFieldId="3" dataDxfId="2"/>
    <tableColumn id="4" xr3:uid="{5FEBA804-7FC8-4F8E-A96A-D9A8AC556B58}" uniqueName="4" name="Cereals and products" queryTableFieldId="4"/>
    <tableColumn id="5" xr3:uid="{7AF0B696-69AD-45D9-9B2C-E7D8C55FA2C7}" uniqueName="5" name="Meat and fish" queryTableFieldId="5"/>
    <tableColumn id="6" xr3:uid="{3DDEB5E5-B2A3-4913-B4EF-F37434C8F1C8}" uniqueName="6" name="Egg" queryTableFieldId="6"/>
    <tableColumn id="7" xr3:uid="{D49A16EB-75F7-45F3-885D-5092DF9E4DFD}" uniqueName="7" name="Milk and products" queryTableFieldId="7"/>
    <tableColumn id="8" xr3:uid="{37A8FBB4-AFD4-4E2C-9E07-E17F26F43766}" uniqueName="8" name="Oils and fats" queryTableFieldId="8"/>
    <tableColumn id="9" xr3:uid="{4666B24C-F48B-48D1-84CC-FFADDB4D90CA}" uniqueName="9" name="Fruits" queryTableFieldId="9"/>
    <tableColumn id="10" xr3:uid="{9798DD73-A157-4E08-8F9F-BA039D5D73EA}" uniqueName="10" name="Vegetables" queryTableFieldId="10"/>
    <tableColumn id="11" xr3:uid="{A93C9BFA-93C5-4DE5-B58C-31DE62B448E7}" uniqueName="11" name="Pulses and products" queryTableFieldId="11"/>
    <tableColumn id="12" xr3:uid="{992AE8AE-D534-43B3-8491-D1F5E15A07E3}" uniqueName="12" name="Sugar and Confectionery" queryTableFieldId="12"/>
    <tableColumn id="13" xr3:uid="{EDCE43C3-E396-4600-B1B7-6804E35AC907}" uniqueName="13" name="Spices" queryTableFieldId="13"/>
    <tableColumn id="14" xr3:uid="{C19F5539-0E49-42C6-A737-EDE32573F762}" uniqueName="14" name="Non-alcoholic beverages" queryTableFieldId="14"/>
    <tableColumn id="15" xr3:uid="{412DE3B7-B67B-43E2-BB27-8611464F50DA}" uniqueName="15" name="Prepared meals, snacks, sweets etc." queryTableFieldId="15"/>
    <tableColumn id="16" xr3:uid="{48818CAA-AC5E-4E66-B3AE-DB504E46EEA9}" uniqueName="16" name="Food and beverages" queryTableFieldId="16"/>
    <tableColumn id="17" xr3:uid="{88862EFD-FDFC-44F3-9EFD-B65E53BFDA46}" uniqueName="17" name="Pan, tobacco and intoxicants" queryTableFieldId="17"/>
    <tableColumn id="18" xr3:uid="{ECD1611D-301D-449F-BC01-1F57CD507D1E}" uniqueName="18" name="Clothing" queryTableFieldId="18"/>
    <tableColumn id="19" xr3:uid="{DFC56414-3A23-4680-BF72-FBCD85FBC22C}" uniqueName="19" name="Footwear" queryTableFieldId="19"/>
    <tableColumn id="20" xr3:uid="{49E699EF-2571-4941-BF04-20AB2727A427}" uniqueName="20" name="Clothing and footwear" queryTableFieldId="20"/>
    <tableColumn id="21" xr3:uid="{D9E9F9ED-71F1-45B8-8937-45CA0DDD4A2B}" uniqueName="21" name="Housing" queryTableFieldId="21"/>
    <tableColumn id="22" xr3:uid="{CC05A004-300F-4799-A65C-A5864847584D}" uniqueName="22" name="Fuel and light" queryTableFieldId="22"/>
    <tableColumn id="23" xr3:uid="{900C2381-BFE5-4E3B-BAA1-5E77355A93A9}" uniqueName="23" name="Household goods and services" queryTableFieldId="23"/>
    <tableColumn id="24" xr3:uid="{E276EE1E-BF78-4E34-A366-DA2D955BA2BB}" uniqueName="24" name="Health" queryTableFieldId="24"/>
    <tableColumn id="25" xr3:uid="{7C276CE2-CADE-4DDF-A7C2-5F5DBF5F185C}" uniqueName="25" name="Transport and communication" queryTableFieldId="25"/>
    <tableColumn id="26" xr3:uid="{21B60437-6597-4035-B0FA-EBE542403F63}" uniqueName="26" name="Recreation and amusement" queryTableFieldId="26"/>
    <tableColumn id="27" xr3:uid="{BA3EC543-C174-4E77-A5C5-3AF53297C22D}" uniqueName="27" name="Education" queryTableFieldId="27"/>
    <tableColumn id="28" xr3:uid="{E321CFEC-05CE-4023-BCCC-D8ED1D92CF26}" uniqueName="28" name="Personal care and effects" queryTableFieldId="28"/>
    <tableColumn id="29" xr3:uid="{A007DB5C-9D3A-43F4-B54C-476F72D3BD30}" uniqueName="29" name="Miscellaneous" queryTableFieldId="29"/>
    <tableColumn id="30" xr3:uid="{CD64475C-59C0-42D7-BAA2-837CCA4A49B6}" uniqueName="30" name="General index" queryTableField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A0C7A4-B688-4021-A07E-A1A7BFEF6C2D}" name="All_India_Index_Upto_April23__13" displayName="All_India_Index_Upto_April23__13" ref="A1:AD377" tableType="queryTable" totalsRowCount="1">
  <autoFilter ref="A1:AD376" xr:uid="{C1A0C7A4-B688-4021-A07E-A1A7BFEF6C2D}"/>
  <tableColumns count="30">
    <tableColumn id="1" xr3:uid="{1D67709C-86CD-4EAA-B108-724B20D7EB80}" uniqueName="1" name="Sector" queryTableFieldId="1" dataDxfId="1"/>
    <tableColumn id="2" xr3:uid="{40623C88-EA40-4D28-9C7D-46228F6F62A5}" uniqueName="2" name="Year" queryTableFieldId="2"/>
    <tableColumn id="3" xr3:uid="{D3209E49-BAF1-484D-9ABC-EC0EEF3CA0C0}" uniqueName="3" name="Month" queryTableFieldId="3" dataDxfId="0"/>
    <tableColumn id="4" xr3:uid="{4FCF998F-4C91-4A3E-B19B-8299A9D21CC2}" uniqueName="4" name="Cereals and products" queryTableFieldId="4"/>
    <tableColumn id="5" xr3:uid="{FB57459C-F6C1-4775-A52E-313052F11C29}" uniqueName="5" name="Meat and fish" queryTableFieldId="5"/>
    <tableColumn id="6" xr3:uid="{95E050CC-8EE3-4654-9B69-7CE106F20C3A}" uniqueName="6" name="Egg" queryTableFieldId="6"/>
    <tableColumn id="7" xr3:uid="{F0927B44-C839-4DCA-A63F-CFA003C63322}" uniqueName="7" name="Milk and products" queryTableFieldId="7"/>
    <tableColumn id="8" xr3:uid="{69A00664-A3C3-4715-B582-5EFDE8931269}" uniqueName="8" name="Oils and fats" queryTableFieldId="8"/>
    <tableColumn id="9" xr3:uid="{62525D8F-7585-4060-A5A6-24C81FC53F69}" uniqueName="9" name="Fruits" queryTableFieldId="9"/>
    <tableColumn id="10" xr3:uid="{E653074E-C027-4E48-B0CA-345197E2595B}" uniqueName="10" name="Vegetables" queryTableFieldId="10"/>
    <tableColumn id="11" xr3:uid="{7396B84F-D545-41A2-B546-475377AACF9C}" uniqueName="11" name="Pulses and products" queryTableFieldId="11"/>
    <tableColumn id="12" xr3:uid="{DC3C1189-BE00-4E45-A056-B080B359E5D7}" uniqueName="12" name="Sugar and Confectionery" queryTableFieldId="12"/>
    <tableColumn id="13" xr3:uid="{DAD3BEA6-98B2-4180-BEAF-4AD29C391E9F}" uniqueName="13" name="Spices" queryTableFieldId="13"/>
    <tableColumn id="14" xr3:uid="{F87ECE53-88BC-4C27-8BEF-6F789559EB93}" uniqueName="14" name="Non-alcoholic beverages" queryTableFieldId="14"/>
    <tableColumn id="15" xr3:uid="{F9947B0E-EF00-45AF-A66A-0EBCC39A36A3}" uniqueName="15" name="Prepared meals, snacks, sweets etc." queryTableFieldId="15"/>
    <tableColumn id="16" xr3:uid="{B1818B75-4B53-4A77-868F-DA15BA670E76}" uniqueName="16" name="Food and beverages" queryTableFieldId="16"/>
    <tableColumn id="17" xr3:uid="{628CBE37-C33E-49F0-ABC4-046D0A7DBA2F}" uniqueName="17" name="Pan, tobacco and intoxicants" queryTableFieldId="17"/>
    <tableColumn id="18" xr3:uid="{28C10D55-FCC5-4DC3-BED2-A48FF4C5FEE6}" uniqueName="18" name="Clothing" queryTableFieldId="18"/>
    <tableColumn id="19" xr3:uid="{6B37D263-FBB1-4DC9-9C49-60B97AA8AC0B}" uniqueName="19" name="Footwear" queryTableFieldId="19"/>
    <tableColumn id="20" xr3:uid="{6BE4E6D6-7ED6-416D-80D8-D789F5C81D6C}" uniqueName="20" name="Clothing and footwear" queryTableFieldId="20"/>
    <tableColumn id="21" xr3:uid="{C6076D70-4610-4E90-9567-68743A3B1621}" uniqueName="21" name="Housing" queryTableFieldId="21"/>
    <tableColumn id="22" xr3:uid="{8C732D4A-8A8E-4913-A387-14B28BE77419}" uniqueName="22" name="Fuel and light" queryTableFieldId="22"/>
    <tableColumn id="23" xr3:uid="{A886A784-181F-4700-97A6-A38FABEF5641}" uniqueName="23" name="Household goods and services" queryTableFieldId="23"/>
    <tableColumn id="24" xr3:uid="{DBB66C50-F62B-4CAA-ACF3-E49D78341D55}" uniqueName="24" name="Health" queryTableFieldId="24"/>
    <tableColumn id="25" xr3:uid="{F216BAA2-39FC-4E1B-90A7-8977481E679E}" uniqueName="25" name="Transport and communication" queryTableFieldId="25"/>
    <tableColumn id="26" xr3:uid="{B9B10B08-00CC-4D52-B37B-FEFA353A71C0}" uniqueName="26" name="Recreation and amusement" queryTableFieldId="26"/>
    <tableColumn id="27" xr3:uid="{DFA44F50-F072-4262-9409-B591CEED7E62}" uniqueName="27" name="Education" queryTableFieldId="27"/>
    <tableColumn id="28" xr3:uid="{A22F97AD-9C8A-4323-BA2D-C421DB11B79D}" uniqueName="28" name="Personal care and effects" queryTableFieldId="28"/>
    <tableColumn id="29" xr3:uid="{169D511A-D8D4-430C-90F8-313D09281DA2}" uniqueName="29" name="Miscellaneous" queryTableFieldId="29"/>
    <tableColumn id="30" xr3:uid="{010C0EEA-97BC-4AD6-92CF-937A461EEBE5}" uniqueName="30" name="General index" queryTableFieldId="3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9A107D-389B-4B65-BEBC-E3F061443E87}" name="CPI_Category_Mapping" displayName="CPI_Category_Mapping" ref="B10:F37" totalsRowShown="0" headerRowDxfId="11" headerRowBorderDxfId="10" tableBorderDxfId="9">
  <autoFilter ref="B10:F37" xr:uid="{9C9A107D-389B-4B65-BEBC-E3F061443E87}"/>
  <tableColumns count="5">
    <tableColumn id="1" xr3:uid="{3A2EA496-04E3-42E8-854C-A60481FCA553}" name="Category" dataDxfId="8"/>
    <tableColumn id="2" xr3:uid="{407B226C-2B2A-4867-9347-CA758C778BF7}" name="Rural" dataDxfId="7"/>
    <tableColumn id="3" xr3:uid="{AFDFF96B-AB7C-44DB-B5C0-6FFBD90273BA}" name="Urban" dataDxfId="6"/>
    <tableColumn id="4" xr3:uid="{1FE393FE-F370-4A4B-9265-8145A6629C8D}" name="Rural+Urban" dataDxfId="5"/>
    <tableColumn id="5" xr3:uid="{C6CED2D0-AC2C-4CF4-8C4D-39E0872E46C9}" name="New Food Category"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hyperlink" Target="https://ppac.gov.in/prices/international-prices-of-crude-oil"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07ADF-EF68-474F-A117-C980D64D8070}">
  <dimension ref="A1:AD373"/>
  <sheetViews>
    <sheetView topLeftCell="A208" workbookViewId="0">
      <selection activeCell="H255" sqref="H255"/>
    </sheetView>
  </sheetViews>
  <sheetFormatPr defaultRowHeight="14.4" x14ac:dyDescent="0.3"/>
  <cols>
    <col min="1" max="1" width="11.21875" bestFit="1" customWidth="1"/>
    <col min="2" max="2" width="6.88671875" bestFit="1" customWidth="1"/>
    <col min="3" max="3" width="9.77734375" bestFit="1" customWidth="1"/>
    <col min="4" max="4" width="21" bestFit="1" customWidth="1"/>
    <col min="5" max="5" width="14.77734375" bestFit="1" customWidth="1"/>
    <col min="6" max="6" width="6.21875" bestFit="1" customWidth="1"/>
    <col min="7" max="7" width="18.5546875" bestFit="1" customWidth="1"/>
    <col min="8" max="8" width="13.44140625" bestFit="1" customWidth="1"/>
    <col min="9" max="9" width="7.77734375" bestFit="1" customWidth="1"/>
    <col min="10" max="10" width="12.44140625" bestFit="1" customWidth="1"/>
    <col min="11" max="11" width="20.21875" bestFit="1" customWidth="1"/>
    <col min="12" max="12" width="24.33203125" bestFit="1" customWidth="1"/>
    <col min="13" max="13" width="8.44140625" bestFit="1" customWidth="1"/>
    <col min="14" max="14" width="24.21875" bestFit="1" customWidth="1"/>
    <col min="15" max="15" width="33.5546875" bestFit="1" customWidth="1"/>
    <col min="16" max="16" width="20.33203125" bestFit="1" customWidth="1"/>
    <col min="17" max="17" width="27.88671875" bestFit="1" customWidth="1"/>
    <col min="18" max="18" width="10.21875" bestFit="1" customWidth="1"/>
    <col min="19" max="19" width="11.109375" bestFit="1" customWidth="1"/>
    <col min="20" max="20" width="22.21875" bestFit="1" customWidth="1"/>
    <col min="21" max="21" width="10" bestFit="1" customWidth="1"/>
    <col min="22" max="22" width="14.44140625" bestFit="1" customWidth="1"/>
    <col min="23" max="23" width="28.88671875" bestFit="1" customWidth="1"/>
    <col min="24" max="24" width="8.6640625" bestFit="1" customWidth="1"/>
    <col min="25" max="25" width="29.109375" bestFit="1" customWidth="1"/>
    <col min="26" max="26" width="26.6640625" bestFit="1" customWidth="1"/>
    <col min="27" max="27" width="11.6640625" bestFit="1" customWidth="1"/>
    <col min="28" max="28" width="24.5546875" bestFit="1" customWidth="1"/>
    <col min="29" max="29" width="15.109375" bestFit="1" customWidth="1"/>
    <col min="30" max="30" width="14.664062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
      <c r="A33" t="s">
        <v>33</v>
      </c>
      <c r="B33">
        <v>2013</v>
      </c>
      <c r="C33" t="s">
        <v>44</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34</v>
      </c>
      <c r="B34">
        <v>2013</v>
      </c>
      <c r="C34" t="s">
        <v>44</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45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
      <c r="A36" t="s">
        <v>33</v>
      </c>
      <c r="B36">
        <v>2013</v>
      </c>
      <c r="C36" t="s">
        <v>45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34</v>
      </c>
      <c r="B37">
        <v>2013</v>
      </c>
      <c r="C37" t="s">
        <v>45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34</v>
      </c>
      <c r="B46">
        <v>2014</v>
      </c>
      <c r="C46" t="s">
        <v>46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44</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
      <c r="A69" t="s">
        <v>33</v>
      </c>
      <c r="B69">
        <v>2014</v>
      </c>
      <c r="C69" t="s">
        <v>44</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34</v>
      </c>
      <c r="B70">
        <v>2014</v>
      </c>
      <c r="C70" t="s">
        <v>44</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45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
      <c r="A72" t="s">
        <v>33</v>
      </c>
      <c r="B72">
        <v>2014</v>
      </c>
      <c r="C72" t="s">
        <v>45</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34</v>
      </c>
      <c r="B73">
        <v>2014</v>
      </c>
      <c r="C73" t="s">
        <v>45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44</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
      <c r="A105" t="s">
        <v>33</v>
      </c>
      <c r="B105">
        <v>2015</v>
      </c>
      <c r="C105" t="s">
        <v>44</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34</v>
      </c>
      <c r="B106">
        <v>2015</v>
      </c>
      <c r="C106" t="s">
        <v>44</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45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
      <c r="A108" t="s">
        <v>33</v>
      </c>
      <c r="B108">
        <v>2015</v>
      </c>
      <c r="C108" t="s">
        <v>45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34</v>
      </c>
      <c r="B109">
        <v>2015</v>
      </c>
      <c r="C109" t="s">
        <v>45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44</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
      <c r="A141" t="s">
        <v>33</v>
      </c>
      <c r="B141">
        <v>2016</v>
      </c>
      <c r="C141" t="s">
        <v>44</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34</v>
      </c>
      <c r="B142">
        <v>2016</v>
      </c>
      <c r="C142" t="s">
        <v>44</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45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45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34</v>
      </c>
      <c r="B145">
        <v>2016</v>
      </c>
      <c r="C145" t="s">
        <v>45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44</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44</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34</v>
      </c>
      <c r="B178">
        <v>2017</v>
      </c>
      <c r="C178" t="s">
        <v>44</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45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
      <c r="A180" t="s">
        <v>33</v>
      </c>
      <c r="B180">
        <v>2017</v>
      </c>
      <c r="C180" t="s">
        <v>45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34</v>
      </c>
      <c r="B181">
        <v>2017</v>
      </c>
      <c r="C181" t="s">
        <v>45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44</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44</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34</v>
      </c>
      <c r="B214">
        <v>2018</v>
      </c>
      <c r="C214" t="s">
        <v>44</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45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
      <c r="A216" t="s">
        <v>33</v>
      </c>
      <c r="B216">
        <v>2018</v>
      </c>
      <c r="C216" t="s">
        <v>45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34</v>
      </c>
      <c r="B217">
        <v>2018</v>
      </c>
      <c r="C217" t="s">
        <v>45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v>2019</v>
      </c>
      <c r="C245" t="s">
        <v>44</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
      <c r="A246" t="s">
        <v>33</v>
      </c>
      <c r="B246">
        <v>2019</v>
      </c>
      <c r="C246" t="s">
        <v>44</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34</v>
      </c>
      <c r="B247">
        <v>2019</v>
      </c>
      <c r="C247" t="s">
        <v>44</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45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45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34</v>
      </c>
      <c r="B250">
        <v>2019</v>
      </c>
      <c r="C250" t="s">
        <v>45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37</v>
      </c>
      <c r="D260">
        <v>147.19999999999999</v>
      </c>
      <c r="F260">
        <v>146.9</v>
      </c>
      <c r="G260">
        <v>155.6</v>
      </c>
      <c r="H260">
        <v>137.1</v>
      </c>
      <c r="I260">
        <v>147.30000000000001</v>
      </c>
      <c r="J260">
        <v>162.69999999999999</v>
      </c>
      <c r="K260">
        <v>150.19999999999999</v>
      </c>
      <c r="L260">
        <v>119.8</v>
      </c>
      <c r="M260">
        <v>158.69999999999999</v>
      </c>
      <c r="N260">
        <v>139.19999999999999</v>
      </c>
      <c r="P260">
        <v>150.1</v>
      </c>
      <c r="U260" t="s">
        <v>32</v>
      </c>
      <c r="V260">
        <v>148.4</v>
      </c>
      <c r="X260">
        <v>154.30000000000001</v>
      </c>
    </row>
    <row r="261" spans="1:30" x14ac:dyDescent="0.3">
      <c r="A261" t="s">
        <v>33</v>
      </c>
      <c r="B261">
        <v>2020</v>
      </c>
      <c r="C261" t="s">
        <v>37</v>
      </c>
      <c r="D261">
        <v>151.80000000000001</v>
      </c>
      <c r="F261">
        <v>151.9</v>
      </c>
      <c r="G261">
        <v>155.5</v>
      </c>
      <c r="H261">
        <v>131.6</v>
      </c>
      <c r="I261">
        <v>152.9</v>
      </c>
      <c r="J261">
        <v>180</v>
      </c>
      <c r="K261">
        <v>150.80000000000001</v>
      </c>
      <c r="L261">
        <v>121.2</v>
      </c>
      <c r="M261">
        <v>154</v>
      </c>
      <c r="N261">
        <v>133.5</v>
      </c>
      <c r="P261">
        <v>153.5</v>
      </c>
      <c r="U261">
        <v>155.6</v>
      </c>
      <c r="V261">
        <v>137.1</v>
      </c>
      <c r="X261">
        <v>144.80000000000001</v>
      </c>
    </row>
    <row r="262" spans="1:30" x14ac:dyDescent="0.3">
      <c r="A262" t="s">
        <v>34</v>
      </c>
      <c r="B262">
        <v>2020</v>
      </c>
      <c r="C262" t="s">
        <v>37</v>
      </c>
      <c r="D262">
        <v>148.69999999999999</v>
      </c>
      <c r="F262">
        <v>148.80000000000001</v>
      </c>
      <c r="G262">
        <v>155.6</v>
      </c>
      <c r="H262">
        <v>135.1</v>
      </c>
      <c r="I262">
        <v>149.9</v>
      </c>
      <c r="J262">
        <v>168.6</v>
      </c>
      <c r="K262">
        <v>150.4</v>
      </c>
      <c r="L262">
        <v>120.3</v>
      </c>
      <c r="M262">
        <v>157.1</v>
      </c>
      <c r="N262">
        <v>136.80000000000001</v>
      </c>
      <c r="P262">
        <v>151.4</v>
      </c>
      <c r="U262">
        <v>155.6</v>
      </c>
      <c r="V262">
        <v>144.1</v>
      </c>
      <c r="X262">
        <v>150.69999999999999</v>
      </c>
    </row>
    <row r="263" spans="1:30" x14ac:dyDescent="0.3">
      <c r="A263" t="s">
        <v>30</v>
      </c>
      <c r="B263">
        <v>2020</v>
      </c>
      <c r="C263" t="s">
        <v>38</v>
      </c>
      <c r="U263" t="s">
        <v>32</v>
      </c>
    </row>
    <row r="264" spans="1:30" x14ac:dyDescent="0.3">
      <c r="A264" t="s">
        <v>33</v>
      </c>
      <c r="B264">
        <v>2020</v>
      </c>
      <c r="C264" t="s">
        <v>38</v>
      </c>
      <c r="U264" t="s">
        <v>32</v>
      </c>
    </row>
    <row r="265" spans="1:30" x14ac:dyDescent="0.3">
      <c r="A265" t="s">
        <v>34</v>
      </c>
      <c r="B265">
        <v>2020</v>
      </c>
      <c r="C265" t="s">
        <v>38</v>
      </c>
      <c r="U265" t="s">
        <v>32</v>
      </c>
    </row>
    <row r="266" spans="1:30"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v>2020</v>
      </c>
      <c r="C281" t="s">
        <v>44</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44</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34</v>
      </c>
      <c r="B283">
        <v>2020</v>
      </c>
      <c r="C283" t="s">
        <v>44</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45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45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34</v>
      </c>
      <c r="B286">
        <v>2020</v>
      </c>
      <c r="C286" t="s">
        <v>45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47</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47</v>
      </c>
      <c r="V296">
        <v>156</v>
      </c>
      <c r="W296">
        <v>155.5</v>
      </c>
      <c r="X296">
        <v>165.3</v>
      </c>
      <c r="Y296">
        <v>151.69999999999999</v>
      </c>
      <c r="Z296">
        <v>158.6</v>
      </c>
      <c r="AA296">
        <v>164.1</v>
      </c>
      <c r="AB296">
        <v>154.6</v>
      </c>
      <c r="AC296">
        <v>158</v>
      </c>
      <c r="AD296">
        <v>157.6</v>
      </c>
    </row>
    <row r="297" spans="1:30"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44</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
      <c r="A318" t="s">
        <v>33</v>
      </c>
      <c r="B318">
        <v>2021</v>
      </c>
      <c r="C318" t="s">
        <v>44</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34</v>
      </c>
      <c r="B319">
        <v>2021</v>
      </c>
      <c r="C319" t="s">
        <v>44</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45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
      <c r="A321" t="s">
        <v>33</v>
      </c>
      <c r="B321">
        <v>2021</v>
      </c>
      <c r="C321" t="s">
        <v>45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34</v>
      </c>
      <c r="B322">
        <v>2021</v>
      </c>
      <c r="C322" t="s">
        <v>45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44</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
      <c r="A354" t="s">
        <v>33</v>
      </c>
      <c r="B354">
        <v>2022</v>
      </c>
      <c r="C354" t="s">
        <v>44</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34</v>
      </c>
      <c r="B355">
        <v>2022</v>
      </c>
      <c r="C355" t="s">
        <v>44</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45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
      <c r="A357" t="s">
        <v>33</v>
      </c>
      <c r="B357">
        <v>2022</v>
      </c>
      <c r="C357" t="s">
        <v>45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34</v>
      </c>
      <c r="B358">
        <v>2022</v>
      </c>
      <c r="C358" t="s">
        <v>45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47</v>
      </c>
      <c r="V368">
        <v>181.5</v>
      </c>
      <c r="W368">
        <v>179.1</v>
      </c>
      <c r="X368">
        <v>187.2</v>
      </c>
      <c r="Y368">
        <v>169.4</v>
      </c>
      <c r="Z368">
        <v>173.2</v>
      </c>
      <c r="AA368">
        <v>179.4</v>
      </c>
      <c r="AB368">
        <v>183.8</v>
      </c>
      <c r="AC368">
        <v>178.9</v>
      </c>
      <c r="AD368">
        <v>178.8</v>
      </c>
    </row>
    <row r="369" spans="1:30"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47</v>
      </c>
      <c r="V371">
        <v>182.5</v>
      </c>
      <c r="W371">
        <v>179.8</v>
      </c>
      <c r="X371">
        <v>187.8</v>
      </c>
      <c r="Y371">
        <v>169.7</v>
      </c>
      <c r="Z371">
        <v>173.8</v>
      </c>
      <c r="AA371">
        <v>180.3</v>
      </c>
      <c r="AB371">
        <v>184.9</v>
      </c>
      <c r="AC371">
        <v>179.5</v>
      </c>
      <c r="AD371">
        <v>179.8</v>
      </c>
    </row>
    <row r="372" spans="1:30"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sheetProtection algorithmName="SHA-512" hashValue="5D3k89iTRnY2rMZ/n0K6q5YcAetlUg04W9mQfSq0jEC6tZVWMgNH3GHbBAAg/mMSjfxzgYaJgcq7530HaX+t5A==" saltValue="oFa98o9Lk6KprR85a4BBWQ=="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2D66A-3A22-4F95-80F1-A8E99D89612A}">
  <dimension ref="A1:AD376"/>
  <sheetViews>
    <sheetView topLeftCell="A261" workbookViewId="0">
      <selection activeCell="B378" sqref="B378"/>
    </sheetView>
  </sheetViews>
  <sheetFormatPr defaultRowHeight="14.4" x14ac:dyDescent="0.3"/>
  <cols>
    <col min="20" max="20" width="14.33203125" customWidth="1"/>
    <col min="30" max="30" width="14.5546875" customWidth="1"/>
  </cols>
  <sheetData>
    <row r="1" spans="1:30" ht="15.6"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
      <c r="A33" t="s">
        <v>33</v>
      </c>
      <c r="B33">
        <v>2013</v>
      </c>
      <c r="C33" t="s">
        <v>44</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34</v>
      </c>
      <c r="B34">
        <v>2013</v>
      </c>
      <c r="C34" t="s">
        <v>44</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45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
      <c r="A36" t="s">
        <v>33</v>
      </c>
      <c r="B36">
        <v>2013</v>
      </c>
      <c r="C36" t="s">
        <v>45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34</v>
      </c>
      <c r="B37">
        <v>2013</v>
      </c>
      <c r="C37" t="s">
        <v>45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34</v>
      </c>
      <c r="B46">
        <v>2014</v>
      </c>
      <c r="C46" t="s">
        <v>46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44</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
      <c r="A69" t="s">
        <v>33</v>
      </c>
      <c r="B69">
        <v>2014</v>
      </c>
      <c r="C69" t="s">
        <v>44</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34</v>
      </c>
      <c r="B70">
        <v>2014</v>
      </c>
      <c r="C70" t="s">
        <v>44</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45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
      <c r="A72" t="s">
        <v>33</v>
      </c>
      <c r="B72">
        <v>2014</v>
      </c>
      <c r="C72" t="s">
        <v>45</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34</v>
      </c>
      <c r="B73">
        <v>2014</v>
      </c>
      <c r="C73" t="s">
        <v>45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44</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
      <c r="A105" t="s">
        <v>33</v>
      </c>
      <c r="B105">
        <v>2015</v>
      </c>
      <c r="C105" t="s">
        <v>44</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34</v>
      </c>
      <c r="B106">
        <v>2015</v>
      </c>
      <c r="C106" t="s">
        <v>44</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45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
      <c r="A108" t="s">
        <v>33</v>
      </c>
      <c r="B108">
        <v>2015</v>
      </c>
      <c r="C108" t="s">
        <v>45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34</v>
      </c>
      <c r="B109">
        <v>2015</v>
      </c>
      <c r="C109" t="s">
        <v>45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44</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
      <c r="A141" t="s">
        <v>33</v>
      </c>
      <c r="B141">
        <v>2016</v>
      </c>
      <c r="C141" t="s">
        <v>44</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34</v>
      </c>
      <c r="B142">
        <v>2016</v>
      </c>
      <c r="C142" t="s">
        <v>44</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45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45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34</v>
      </c>
      <c r="B145">
        <v>2016</v>
      </c>
      <c r="C145" t="s">
        <v>45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44</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44</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34</v>
      </c>
      <c r="B178">
        <v>2017</v>
      </c>
      <c r="C178" t="s">
        <v>44</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45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
      <c r="A180" t="s">
        <v>33</v>
      </c>
      <c r="B180">
        <v>2017</v>
      </c>
      <c r="C180" t="s">
        <v>45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34</v>
      </c>
      <c r="B181">
        <v>2017</v>
      </c>
      <c r="C181" t="s">
        <v>45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44</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44</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34</v>
      </c>
      <c r="B214">
        <v>2018</v>
      </c>
      <c r="C214" t="s">
        <v>44</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45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
      <c r="A216" t="s">
        <v>33</v>
      </c>
      <c r="B216">
        <v>2018</v>
      </c>
      <c r="C216" t="s">
        <v>45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34</v>
      </c>
      <c r="B217">
        <v>2018</v>
      </c>
      <c r="C217" t="s">
        <v>45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s="1" t="s">
        <v>30</v>
      </c>
      <c r="B227" s="1">
        <v>2019</v>
      </c>
      <c r="C227" s="1" t="s">
        <v>37</v>
      </c>
      <c r="D227" s="6">
        <f>AVERAGE(D221,D224,D230)</f>
        <v>137.03333333333333</v>
      </c>
      <c r="E227" s="8">
        <v>155.53333333333299</v>
      </c>
      <c r="F227" s="8">
        <v>137.43333333333331</v>
      </c>
      <c r="G227" s="8">
        <v>142.53333333333333</v>
      </c>
      <c r="H227" s="8">
        <v>124.06666666666666</v>
      </c>
      <c r="I227" s="8">
        <v>138.53333333333333</v>
      </c>
      <c r="J227" s="8">
        <v>130.1</v>
      </c>
      <c r="K227" s="8">
        <v>122.96666666666665</v>
      </c>
      <c r="L227" s="8">
        <v>108.63333333333333</v>
      </c>
      <c r="M227" s="8">
        <v>139.13333333333335</v>
      </c>
      <c r="N227" s="8">
        <v>137.5</v>
      </c>
      <c r="O227" s="8">
        <v>156.33333333333334</v>
      </c>
      <c r="P227" s="8">
        <v>137.9</v>
      </c>
      <c r="Q227" s="8">
        <v>163.00000000000003</v>
      </c>
      <c r="R227" s="8">
        <v>150.86666666666667</v>
      </c>
      <c r="S227" s="8">
        <v>146.26666666666665</v>
      </c>
      <c r="T227" s="8">
        <v>150.23333333333332</v>
      </c>
      <c r="U227" s="1" t="s">
        <v>32</v>
      </c>
      <c r="V227" s="8">
        <v>146.20000000000002</v>
      </c>
      <c r="W227" s="8">
        <v>149.86666666666667</v>
      </c>
      <c r="X227" s="8">
        <v>150.53333333333333</v>
      </c>
      <c r="Y227" s="8">
        <v>129.76666666666668</v>
      </c>
      <c r="Z227" s="8">
        <v>144.36666666666667</v>
      </c>
      <c r="AA227" s="8">
        <v>155.9</v>
      </c>
      <c r="AB227" s="8">
        <v>134.26666666666665</v>
      </c>
      <c r="AC227" s="8">
        <v>142.5</v>
      </c>
      <c r="AD227" s="8"/>
    </row>
    <row r="228" spans="1:30" x14ac:dyDescent="0.3">
      <c r="A228" s="1" t="s">
        <v>33</v>
      </c>
      <c r="B228" s="1">
        <v>2019</v>
      </c>
      <c r="C228" s="1" t="s">
        <v>37</v>
      </c>
      <c r="D228" s="6">
        <f>AVERAGE(D222,D225,D231)</f>
        <v>139.83333333333334</v>
      </c>
      <c r="E228" s="8">
        <v>152.63333333333333</v>
      </c>
      <c r="F228" s="8">
        <v>142.16666666666669</v>
      </c>
      <c r="G228" s="8">
        <v>142</v>
      </c>
      <c r="H228" s="8">
        <v>118.46666666666665</v>
      </c>
      <c r="I228" s="8">
        <v>142.03333333333333</v>
      </c>
      <c r="J228" s="8">
        <v>144.79999999999998</v>
      </c>
      <c r="K228" s="8">
        <v>121.66666666666667</v>
      </c>
      <c r="L228" s="8">
        <v>110.66666666666667</v>
      </c>
      <c r="M228" s="8">
        <v>140.83333333333334</v>
      </c>
      <c r="N228" s="8">
        <v>128.56666666666669</v>
      </c>
      <c r="O228" s="8">
        <v>153.96666666666667</v>
      </c>
      <c r="P228" s="8">
        <v>140.46666666666667</v>
      </c>
      <c r="Q228" s="8">
        <v>165.46666666666667</v>
      </c>
      <c r="R228" s="8">
        <v>143.6</v>
      </c>
      <c r="S228" s="8">
        <v>131.23333333333332</v>
      </c>
      <c r="T228" s="8">
        <v>141.73333333333332</v>
      </c>
      <c r="U228" s="8">
        <v>149.20000000000002</v>
      </c>
      <c r="V228" s="8">
        <v>128.43333333333334</v>
      </c>
      <c r="W228" s="8">
        <v>136.86666666666665</v>
      </c>
      <c r="X228" s="8">
        <v>139.16666666666666</v>
      </c>
      <c r="Y228" s="8">
        <v>119.73333333333335</v>
      </c>
      <c r="Z228" s="8">
        <v>133.06666666666666</v>
      </c>
      <c r="AA228" s="8">
        <v>147.1</v>
      </c>
      <c r="AB228" s="8">
        <v>132.70000000000002</v>
      </c>
      <c r="AC228" s="8">
        <v>132.83333333333334</v>
      </c>
      <c r="AD228" s="8"/>
    </row>
    <row r="229" spans="1:30" x14ac:dyDescent="0.3">
      <c r="A229" s="1" t="s">
        <v>34</v>
      </c>
      <c r="B229" s="1">
        <v>2019</v>
      </c>
      <c r="C229" s="1" t="s">
        <v>37</v>
      </c>
      <c r="D229" s="6">
        <f>AVERAGE(D223,D226,D232)</f>
        <v>137.9</v>
      </c>
      <c r="E229" s="8">
        <v>154.5</v>
      </c>
      <c r="F229" s="8">
        <v>139.26666666666668</v>
      </c>
      <c r="G229" s="8">
        <v>142.33333333333334</v>
      </c>
      <c r="H229" s="8">
        <v>122</v>
      </c>
      <c r="I229" s="8">
        <v>140.16666666666666</v>
      </c>
      <c r="J229" s="8">
        <v>135.1</v>
      </c>
      <c r="K229" s="8">
        <v>122.56666666666668</v>
      </c>
      <c r="L229" s="8">
        <v>109.3</v>
      </c>
      <c r="M229" s="8">
        <v>139.70000000000002</v>
      </c>
      <c r="N229" s="8">
        <v>133.76666666666665</v>
      </c>
      <c r="O229" s="8">
        <v>155.20000000000002</v>
      </c>
      <c r="P229" s="8">
        <v>138.83333333333334</v>
      </c>
      <c r="Q229" s="8">
        <v>163.66666666666666</v>
      </c>
      <c r="R229" s="8">
        <v>148</v>
      </c>
      <c r="S229" s="8">
        <v>140</v>
      </c>
      <c r="T229" s="8">
        <v>146.83333333333334</v>
      </c>
      <c r="U229" s="8">
        <v>149.20000000000002</v>
      </c>
      <c r="V229" s="8">
        <v>139.46666666666667</v>
      </c>
      <c r="W229" s="8">
        <v>143.73333333333332</v>
      </c>
      <c r="X229" s="8">
        <v>146.23333333333332</v>
      </c>
      <c r="Y229" s="8">
        <v>124.46666666666665</v>
      </c>
      <c r="Z229" s="8">
        <v>137.99999999999997</v>
      </c>
      <c r="AA229" s="8">
        <v>150.73333333333335</v>
      </c>
      <c r="AB229" s="8">
        <v>133.63333333333333</v>
      </c>
      <c r="AC229" s="8">
        <v>137.76666666666668</v>
      </c>
      <c r="AD229" s="8"/>
    </row>
    <row r="230" spans="1:30" x14ac:dyDescent="0.3">
      <c r="A230" t="s">
        <v>30</v>
      </c>
      <c r="B230">
        <v>2019</v>
      </c>
      <c r="C230" t="s">
        <v>38</v>
      </c>
      <c r="D230">
        <v>137.4</v>
      </c>
      <c r="E230">
        <v>159.5</v>
      </c>
      <c r="F230">
        <v>134.5</v>
      </c>
      <c r="G230">
        <v>142.6</v>
      </c>
      <c r="H230">
        <v>124</v>
      </c>
      <c r="I230">
        <v>143.69999999999999</v>
      </c>
      <c r="J230">
        <v>133.4</v>
      </c>
      <c r="K230">
        <v>125.1</v>
      </c>
      <c r="L230">
        <v>109.3</v>
      </c>
      <c r="M230">
        <v>139.30000000000001</v>
      </c>
      <c r="N230">
        <v>137.69999999999999</v>
      </c>
      <c r="O230">
        <v>156.4</v>
      </c>
      <c r="P230">
        <v>139.19999999999999</v>
      </c>
      <c r="Q230">
        <v>163.30000000000001</v>
      </c>
      <c r="R230">
        <v>151.30000000000001</v>
      </c>
      <c r="S230">
        <v>146.6</v>
      </c>
      <c r="T230">
        <v>150.69999999999999</v>
      </c>
      <c r="U230" t="s">
        <v>32</v>
      </c>
      <c r="V230">
        <v>146.9</v>
      </c>
      <c r="W230">
        <v>149.5</v>
      </c>
      <c r="X230">
        <v>151.30000000000001</v>
      </c>
      <c r="Y230">
        <v>130.19999999999999</v>
      </c>
      <c r="Z230">
        <v>145.9</v>
      </c>
      <c r="AA230">
        <v>156.69999999999999</v>
      </c>
      <c r="AB230">
        <v>133.9</v>
      </c>
      <c r="AC230">
        <v>142.9</v>
      </c>
      <c r="AD230">
        <v>142.4</v>
      </c>
    </row>
    <row r="231" spans="1:30" x14ac:dyDescent="0.3">
      <c r="A231" t="s">
        <v>33</v>
      </c>
      <c r="B231">
        <v>2019</v>
      </c>
      <c r="C231" t="s">
        <v>38</v>
      </c>
      <c r="D231">
        <v>140.4</v>
      </c>
      <c r="E231">
        <v>156.69999999999999</v>
      </c>
      <c r="F231">
        <v>138.30000000000001</v>
      </c>
      <c r="G231">
        <v>142.4</v>
      </c>
      <c r="H231">
        <v>118.6</v>
      </c>
      <c r="I231">
        <v>149.69999999999999</v>
      </c>
      <c r="J231">
        <v>161.6</v>
      </c>
      <c r="K231">
        <v>124.4</v>
      </c>
      <c r="L231">
        <v>111.2</v>
      </c>
      <c r="M231">
        <v>141</v>
      </c>
      <c r="N231">
        <v>128.9</v>
      </c>
      <c r="O231">
        <v>154.5</v>
      </c>
      <c r="P231">
        <v>143.80000000000001</v>
      </c>
      <c r="Q231">
        <v>166.2</v>
      </c>
      <c r="R231">
        <v>144</v>
      </c>
      <c r="S231">
        <v>131.69999999999999</v>
      </c>
      <c r="T231">
        <v>142.19999999999999</v>
      </c>
      <c r="U231">
        <v>150.1</v>
      </c>
      <c r="V231">
        <v>129.4</v>
      </c>
      <c r="W231">
        <v>137.19999999999999</v>
      </c>
      <c r="X231">
        <v>139.80000000000001</v>
      </c>
      <c r="Y231">
        <v>120.1</v>
      </c>
      <c r="Z231">
        <v>134</v>
      </c>
      <c r="AA231">
        <v>148</v>
      </c>
      <c r="AB231">
        <v>132.6</v>
      </c>
      <c r="AC231">
        <v>133.30000000000001</v>
      </c>
      <c r="AD231">
        <v>141.5</v>
      </c>
    </row>
    <row r="232" spans="1:30" x14ac:dyDescent="0.3">
      <c r="A232" t="s">
        <v>34</v>
      </c>
      <c r="B232">
        <v>2019</v>
      </c>
      <c r="C232" t="s">
        <v>38</v>
      </c>
      <c r="D232">
        <v>138.30000000000001</v>
      </c>
      <c r="E232">
        <v>158.5</v>
      </c>
      <c r="F232">
        <v>136</v>
      </c>
      <c r="G232">
        <v>142.5</v>
      </c>
      <c r="H232">
        <v>122</v>
      </c>
      <c r="I232">
        <v>146.5</v>
      </c>
      <c r="J232">
        <v>143</v>
      </c>
      <c r="K232">
        <v>124.9</v>
      </c>
      <c r="L232">
        <v>109.9</v>
      </c>
      <c r="M232">
        <v>139.9</v>
      </c>
      <c r="N232">
        <v>134</v>
      </c>
      <c r="O232">
        <v>155.5</v>
      </c>
      <c r="P232">
        <v>140.9</v>
      </c>
      <c r="Q232">
        <v>164.1</v>
      </c>
      <c r="R232">
        <v>148.4</v>
      </c>
      <c r="S232">
        <v>140.4</v>
      </c>
      <c r="T232">
        <v>147.30000000000001</v>
      </c>
      <c r="U232">
        <v>150.1</v>
      </c>
      <c r="V232">
        <v>140.30000000000001</v>
      </c>
      <c r="W232">
        <v>143.69999999999999</v>
      </c>
      <c r="X232">
        <v>146.9</v>
      </c>
      <c r="Y232">
        <v>124.9</v>
      </c>
      <c r="Z232">
        <v>139.19999999999999</v>
      </c>
      <c r="AA232">
        <v>151.6</v>
      </c>
      <c r="AB232">
        <v>133.4</v>
      </c>
      <c r="AC232">
        <v>138.19999999999999</v>
      </c>
      <c r="AD232">
        <v>142</v>
      </c>
    </row>
    <row r="233" spans="1:30" x14ac:dyDescent="0.3">
      <c r="A233" t="s">
        <v>30</v>
      </c>
      <c r="B233">
        <v>2019</v>
      </c>
      <c r="C233" t="s">
        <v>39</v>
      </c>
      <c r="D233">
        <v>137.80000000000001</v>
      </c>
      <c r="E233">
        <v>163.5</v>
      </c>
      <c r="F233">
        <v>136.19999999999999</v>
      </c>
      <c r="G233">
        <v>143.19999999999999</v>
      </c>
      <c r="H233">
        <v>124.3</v>
      </c>
      <c r="I233">
        <v>143.30000000000001</v>
      </c>
      <c r="J233">
        <v>140.6</v>
      </c>
      <c r="K233">
        <v>128.69999999999999</v>
      </c>
      <c r="L233">
        <v>110.6</v>
      </c>
      <c r="M233">
        <v>140.4</v>
      </c>
      <c r="N233">
        <v>138</v>
      </c>
      <c r="O233">
        <v>156.6</v>
      </c>
      <c r="P233">
        <v>141</v>
      </c>
      <c r="Q233">
        <v>164.2</v>
      </c>
      <c r="R233">
        <v>151.4</v>
      </c>
      <c r="S233">
        <v>146.5</v>
      </c>
      <c r="T233">
        <v>150.69999999999999</v>
      </c>
      <c r="U233" t="s">
        <v>32</v>
      </c>
      <c r="V233">
        <v>147.80000000000001</v>
      </c>
      <c r="W233">
        <v>149.6</v>
      </c>
      <c r="X233">
        <v>151.69999999999999</v>
      </c>
      <c r="Y233">
        <v>130.19999999999999</v>
      </c>
      <c r="Z233">
        <v>146.4</v>
      </c>
      <c r="AA233">
        <v>157.69999999999999</v>
      </c>
      <c r="AB233">
        <v>134.80000000000001</v>
      </c>
      <c r="AC233">
        <v>143.30000000000001</v>
      </c>
      <c r="AD233">
        <v>143.6</v>
      </c>
    </row>
    <row r="234" spans="1:30" x14ac:dyDescent="0.3">
      <c r="A234" t="s">
        <v>33</v>
      </c>
      <c r="B234">
        <v>2019</v>
      </c>
      <c r="C234" t="s">
        <v>39</v>
      </c>
      <c r="D234">
        <v>140.69999999999999</v>
      </c>
      <c r="E234">
        <v>159.6</v>
      </c>
      <c r="F234">
        <v>140.4</v>
      </c>
      <c r="G234">
        <v>143.4</v>
      </c>
      <c r="H234">
        <v>118.6</v>
      </c>
      <c r="I234">
        <v>150.9</v>
      </c>
      <c r="J234">
        <v>169.8</v>
      </c>
      <c r="K234">
        <v>127.4</v>
      </c>
      <c r="L234">
        <v>111.8</v>
      </c>
      <c r="M234">
        <v>141</v>
      </c>
      <c r="N234">
        <v>129</v>
      </c>
      <c r="O234">
        <v>155.1</v>
      </c>
      <c r="P234">
        <v>145.6</v>
      </c>
      <c r="Q234">
        <v>166.7</v>
      </c>
      <c r="R234">
        <v>144.30000000000001</v>
      </c>
      <c r="S234">
        <v>131.69999999999999</v>
      </c>
      <c r="T234">
        <v>142.4</v>
      </c>
      <c r="U234">
        <v>149.4</v>
      </c>
      <c r="V234">
        <v>130.5</v>
      </c>
      <c r="W234">
        <v>137.4</v>
      </c>
      <c r="X234">
        <v>140.30000000000001</v>
      </c>
      <c r="Y234">
        <v>119.6</v>
      </c>
      <c r="Z234">
        <v>134.30000000000001</v>
      </c>
      <c r="AA234">
        <v>148.9</v>
      </c>
      <c r="AB234">
        <v>133.69999999999999</v>
      </c>
      <c r="AC234">
        <v>133.6</v>
      </c>
      <c r="AD234">
        <v>142.1</v>
      </c>
    </row>
    <row r="235" spans="1:30" x14ac:dyDescent="0.3">
      <c r="A235" t="s">
        <v>34</v>
      </c>
      <c r="B235">
        <v>2019</v>
      </c>
      <c r="C235" t="s">
        <v>39</v>
      </c>
      <c r="D235">
        <v>138.69999999999999</v>
      </c>
      <c r="E235">
        <v>162.1</v>
      </c>
      <c r="F235">
        <v>137.80000000000001</v>
      </c>
      <c r="G235">
        <v>143.30000000000001</v>
      </c>
      <c r="H235">
        <v>122.2</v>
      </c>
      <c r="I235">
        <v>146.80000000000001</v>
      </c>
      <c r="J235">
        <v>150.5</v>
      </c>
      <c r="K235">
        <v>128.30000000000001</v>
      </c>
      <c r="L235">
        <v>111</v>
      </c>
      <c r="M235">
        <v>140.6</v>
      </c>
      <c r="N235">
        <v>134.19999999999999</v>
      </c>
      <c r="O235">
        <v>155.9</v>
      </c>
      <c r="P235">
        <v>142.69999999999999</v>
      </c>
      <c r="Q235">
        <v>164.9</v>
      </c>
      <c r="R235">
        <v>148.6</v>
      </c>
      <c r="S235">
        <v>140.4</v>
      </c>
      <c r="T235">
        <v>147.4</v>
      </c>
      <c r="U235">
        <v>149.4</v>
      </c>
      <c r="V235">
        <v>141.19999999999999</v>
      </c>
      <c r="W235">
        <v>143.80000000000001</v>
      </c>
      <c r="X235">
        <v>147.4</v>
      </c>
      <c r="Y235">
        <v>124.6</v>
      </c>
      <c r="Z235">
        <v>139.6</v>
      </c>
      <c r="AA235">
        <v>152.5</v>
      </c>
      <c r="AB235">
        <v>134.30000000000001</v>
      </c>
      <c r="AC235">
        <v>138.6</v>
      </c>
      <c r="AD235">
        <v>142.9</v>
      </c>
    </row>
    <row r="236" spans="1:30" x14ac:dyDescent="0.3">
      <c r="A236" t="s">
        <v>30</v>
      </c>
      <c r="B236">
        <v>2019</v>
      </c>
      <c r="C236" t="s">
        <v>40</v>
      </c>
      <c r="D236">
        <v>138.4</v>
      </c>
      <c r="E236">
        <v>164</v>
      </c>
      <c r="F236">
        <v>138.4</v>
      </c>
      <c r="G236">
        <v>143.9</v>
      </c>
      <c r="H236">
        <v>124.4</v>
      </c>
      <c r="I236">
        <v>146.4</v>
      </c>
      <c r="J236">
        <v>150.1</v>
      </c>
      <c r="K236">
        <v>130.6</v>
      </c>
      <c r="L236">
        <v>110.8</v>
      </c>
      <c r="M236">
        <v>141.69999999999999</v>
      </c>
      <c r="N236">
        <v>138.5</v>
      </c>
      <c r="O236">
        <v>156.69999999999999</v>
      </c>
      <c r="P236">
        <v>143</v>
      </c>
      <c r="Q236">
        <v>164.5</v>
      </c>
      <c r="R236">
        <v>151.6</v>
      </c>
      <c r="S236">
        <v>146.6</v>
      </c>
      <c r="T236">
        <v>150.9</v>
      </c>
      <c r="U236" t="s">
        <v>32</v>
      </c>
      <c r="V236">
        <v>146.80000000000001</v>
      </c>
      <c r="W236">
        <v>150</v>
      </c>
      <c r="X236">
        <v>152.19999999999999</v>
      </c>
      <c r="Y236">
        <v>131.19999999999999</v>
      </c>
      <c r="Z236">
        <v>147.5</v>
      </c>
      <c r="AA236">
        <v>159.1</v>
      </c>
      <c r="AB236">
        <v>136.1</v>
      </c>
      <c r="AC236">
        <v>144.19999999999999</v>
      </c>
      <c r="AD236">
        <v>144.9</v>
      </c>
    </row>
    <row r="237" spans="1:30" x14ac:dyDescent="0.3">
      <c r="A237" t="s">
        <v>33</v>
      </c>
      <c r="B237">
        <v>2019</v>
      </c>
      <c r="C237" t="s">
        <v>40</v>
      </c>
      <c r="D237">
        <v>141.4</v>
      </c>
      <c r="E237">
        <v>160.19999999999999</v>
      </c>
      <c r="F237">
        <v>142.5</v>
      </c>
      <c r="G237">
        <v>144.1</v>
      </c>
      <c r="H237">
        <v>119.3</v>
      </c>
      <c r="I237">
        <v>154.69999999999999</v>
      </c>
      <c r="J237">
        <v>180.1</v>
      </c>
      <c r="K237">
        <v>128.9</v>
      </c>
      <c r="L237">
        <v>111.8</v>
      </c>
      <c r="M237">
        <v>141.6</v>
      </c>
      <c r="N237">
        <v>129.5</v>
      </c>
      <c r="O237">
        <v>155.6</v>
      </c>
      <c r="P237">
        <v>147.69999999999999</v>
      </c>
      <c r="Q237">
        <v>167.2</v>
      </c>
      <c r="R237">
        <v>144.69999999999999</v>
      </c>
      <c r="S237">
        <v>131.9</v>
      </c>
      <c r="T237">
        <v>142.69999999999999</v>
      </c>
      <c r="U237">
        <v>150.6</v>
      </c>
      <c r="V237">
        <v>127</v>
      </c>
      <c r="W237">
        <v>137.69999999999999</v>
      </c>
      <c r="X237">
        <v>140.80000000000001</v>
      </c>
      <c r="Y237">
        <v>120.6</v>
      </c>
      <c r="Z237">
        <v>135</v>
      </c>
      <c r="AA237">
        <v>150.4</v>
      </c>
      <c r="AB237">
        <v>135.1</v>
      </c>
      <c r="AC237">
        <v>134.5</v>
      </c>
      <c r="AD237">
        <v>143.30000000000001</v>
      </c>
    </row>
    <row r="238" spans="1:30" x14ac:dyDescent="0.3">
      <c r="A238" t="s">
        <v>34</v>
      </c>
      <c r="B238">
        <v>2019</v>
      </c>
      <c r="C238" t="s">
        <v>40</v>
      </c>
      <c r="D238">
        <v>139.30000000000001</v>
      </c>
      <c r="E238">
        <v>162.69999999999999</v>
      </c>
      <c r="F238">
        <v>140</v>
      </c>
      <c r="G238">
        <v>144</v>
      </c>
      <c r="H238">
        <v>122.5</v>
      </c>
      <c r="I238">
        <v>150.30000000000001</v>
      </c>
      <c r="J238">
        <v>160.30000000000001</v>
      </c>
      <c r="K238">
        <v>130</v>
      </c>
      <c r="L238">
        <v>111.1</v>
      </c>
      <c r="M238">
        <v>141.69999999999999</v>
      </c>
      <c r="N238">
        <v>134.69999999999999</v>
      </c>
      <c r="O238">
        <v>156.19999999999999</v>
      </c>
      <c r="P238">
        <v>144.69999999999999</v>
      </c>
      <c r="Q238">
        <v>165.2</v>
      </c>
      <c r="R238">
        <v>148.9</v>
      </c>
      <c r="S238">
        <v>140.5</v>
      </c>
      <c r="T238">
        <v>147.6</v>
      </c>
      <c r="U238">
        <v>150.6</v>
      </c>
      <c r="V238">
        <v>139.30000000000001</v>
      </c>
      <c r="W238">
        <v>144.19999999999999</v>
      </c>
      <c r="X238">
        <v>147.9</v>
      </c>
      <c r="Y238">
        <v>125.6</v>
      </c>
      <c r="Z238">
        <v>140.5</v>
      </c>
      <c r="AA238">
        <v>154</v>
      </c>
      <c r="AB238">
        <v>135.69999999999999</v>
      </c>
      <c r="AC238">
        <v>139.5</v>
      </c>
      <c r="AD238">
        <v>144.19999999999999</v>
      </c>
    </row>
    <row r="239" spans="1:30" x14ac:dyDescent="0.3">
      <c r="A239" t="s">
        <v>30</v>
      </c>
      <c r="B239">
        <v>2019</v>
      </c>
      <c r="C239" t="s">
        <v>41</v>
      </c>
      <c r="D239">
        <v>139.19999999999999</v>
      </c>
      <c r="E239">
        <v>161.9</v>
      </c>
      <c r="F239">
        <v>137.1</v>
      </c>
      <c r="G239">
        <v>144.6</v>
      </c>
      <c r="H239">
        <v>124.7</v>
      </c>
      <c r="I239">
        <v>145.5</v>
      </c>
      <c r="J239">
        <v>156.19999999999999</v>
      </c>
      <c r="K239">
        <v>131.5</v>
      </c>
      <c r="L239">
        <v>111.7</v>
      </c>
      <c r="M239">
        <v>142.69999999999999</v>
      </c>
      <c r="N239">
        <v>138.5</v>
      </c>
      <c r="O239">
        <v>156.9</v>
      </c>
      <c r="P239">
        <v>144</v>
      </c>
      <c r="Q239">
        <v>165.1</v>
      </c>
      <c r="R239">
        <v>151.80000000000001</v>
      </c>
      <c r="S239">
        <v>146.6</v>
      </c>
      <c r="T239">
        <v>151.1</v>
      </c>
      <c r="U239" t="s">
        <v>32</v>
      </c>
      <c r="V239">
        <v>146.4</v>
      </c>
      <c r="W239">
        <v>150.19999999999999</v>
      </c>
      <c r="X239">
        <v>152.69999999999999</v>
      </c>
      <c r="Y239">
        <v>131.4</v>
      </c>
      <c r="Z239">
        <v>148</v>
      </c>
      <c r="AA239">
        <v>159.69999999999999</v>
      </c>
      <c r="AB239">
        <v>138.80000000000001</v>
      </c>
      <c r="AC239">
        <v>144.9</v>
      </c>
      <c r="AD239">
        <v>145.69999999999999</v>
      </c>
    </row>
    <row r="240" spans="1:30" x14ac:dyDescent="0.3">
      <c r="A240" t="s">
        <v>33</v>
      </c>
      <c r="B240">
        <v>2019</v>
      </c>
      <c r="C240" t="s">
        <v>41</v>
      </c>
      <c r="D240">
        <v>142.1</v>
      </c>
      <c r="E240">
        <v>158.30000000000001</v>
      </c>
      <c r="F240">
        <v>140.80000000000001</v>
      </c>
      <c r="G240">
        <v>144.9</v>
      </c>
      <c r="H240">
        <v>119.9</v>
      </c>
      <c r="I240">
        <v>153.9</v>
      </c>
      <c r="J240">
        <v>189.1</v>
      </c>
      <c r="K240">
        <v>129.80000000000001</v>
      </c>
      <c r="L240">
        <v>112.7</v>
      </c>
      <c r="M240">
        <v>142.5</v>
      </c>
      <c r="N240">
        <v>129.80000000000001</v>
      </c>
      <c r="O240">
        <v>156.19999999999999</v>
      </c>
      <c r="P240">
        <v>149.1</v>
      </c>
      <c r="Q240">
        <v>167.9</v>
      </c>
      <c r="R240">
        <v>145</v>
      </c>
      <c r="S240">
        <v>132.19999999999999</v>
      </c>
      <c r="T240">
        <v>143</v>
      </c>
      <c r="U240">
        <v>151.6</v>
      </c>
      <c r="V240">
        <v>125.5</v>
      </c>
      <c r="W240">
        <v>138.1</v>
      </c>
      <c r="X240">
        <v>141.5</v>
      </c>
      <c r="Y240">
        <v>120.8</v>
      </c>
      <c r="Z240">
        <v>135.4</v>
      </c>
      <c r="AA240">
        <v>151.5</v>
      </c>
      <c r="AB240">
        <v>137.80000000000001</v>
      </c>
      <c r="AC240">
        <v>135.30000000000001</v>
      </c>
      <c r="AD240">
        <v>144.19999999999999</v>
      </c>
    </row>
    <row r="241" spans="1:30" x14ac:dyDescent="0.3">
      <c r="A241" t="s">
        <v>34</v>
      </c>
      <c r="B241">
        <v>2019</v>
      </c>
      <c r="C241" t="s">
        <v>41</v>
      </c>
      <c r="D241">
        <v>140.1</v>
      </c>
      <c r="E241">
        <v>160.6</v>
      </c>
      <c r="F241">
        <v>138.5</v>
      </c>
      <c r="G241">
        <v>144.69999999999999</v>
      </c>
      <c r="H241">
        <v>122.9</v>
      </c>
      <c r="I241">
        <v>149.4</v>
      </c>
      <c r="J241">
        <v>167.4</v>
      </c>
      <c r="K241">
        <v>130.9</v>
      </c>
      <c r="L241">
        <v>112</v>
      </c>
      <c r="M241">
        <v>142.6</v>
      </c>
      <c r="N241">
        <v>134.9</v>
      </c>
      <c r="O241">
        <v>156.6</v>
      </c>
      <c r="P241">
        <v>145.9</v>
      </c>
      <c r="Q241">
        <v>165.8</v>
      </c>
      <c r="R241">
        <v>149.1</v>
      </c>
      <c r="S241">
        <v>140.6</v>
      </c>
      <c r="T241">
        <v>147.9</v>
      </c>
      <c r="U241">
        <v>151.6</v>
      </c>
      <c r="V241">
        <v>138.5</v>
      </c>
      <c r="W241">
        <v>144.5</v>
      </c>
      <c r="X241">
        <v>148.5</v>
      </c>
      <c r="Y241">
        <v>125.8</v>
      </c>
      <c r="Z241">
        <v>140.9</v>
      </c>
      <c r="AA241">
        <v>154.9</v>
      </c>
      <c r="AB241">
        <v>138.4</v>
      </c>
      <c r="AC241">
        <v>140.19999999999999</v>
      </c>
      <c r="AD241">
        <v>145</v>
      </c>
    </row>
    <row r="242" spans="1:30" x14ac:dyDescent="0.3">
      <c r="A242" t="s">
        <v>30</v>
      </c>
      <c r="B242">
        <v>2019</v>
      </c>
      <c r="C242" t="s">
        <v>42</v>
      </c>
      <c r="D242">
        <v>140.1</v>
      </c>
      <c r="E242">
        <v>161.9</v>
      </c>
      <c r="F242">
        <v>138.30000000000001</v>
      </c>
      <c r="G242">
        <v>145.69999999999999</v>
      </c>
      <c r="H242">
        <v>125.1</v>
      </c>
      <c r="I242">
        <v>143.80000000000001</v>
      </c>
      <c r="J242">
        <v>163.4</v>
      </c>
      <c r="K242">
        <v>132.19999999999999</v>
      </c>
      <c r="L242">
        <v>112.8</v>
      </c>
      <c r="M242">
        <v>144.19999999999999</v>
      </c>
      <c r="N242">
        <v>138.5</v>
      </c>
      <c r="O242">
        <v>157.19999999999999</v>
      </c>
      <c r="P242">
        <v>145.5</v>
      </c>
      <c r="Q242">
        <v>165.7</v>
      </c>
      <c r="R242">
        <v>151.69999999999999</v>
      </c>
      <c r="S242">
        <v>146.6</v>
      </c>
      <c r="T242">
        <v>151</v>
      </c>
      <c r="U242" t="s">
        <v>32</v>
      </c>
      <c r="V242">
        <v>146.9</v>
      </c>
      <c r="W242">
        <v>150.30000000000001</v>
      </c>
      <c r="X242">
        <v>153.4</v>
      </c>
      <c r="Y242">
        <v>131.6</v>
      </c>
      <c r="Z242">
        <v>148.30000000000001</v>
      </c>
      <c r="AA242">
        <v>160.19999999999999</v>
      </c>
      <c r="AB242">
        <v>140.19999999999999</v>
      </c>
      <c r="AC242">
        <v>145.4</v>
      </c>
      <c r="AD242">
        <v>146.69999999999999</v>
      </c>
    </row>
    <row r="243" spans="1:30" x14ac:dyDescent="0.3">
      <c r="A243" t="s">
        <v>33</v>
      </c>
      <c r="B243">
        <v>2019</v>
      </c>
      <c r="C243" t="s">
        <v>42</v>
      </c>
      <c r="D243">
        <v>142.69999999999999</v>
      </c>
      <c r="E243">
        <v>158.69999999999999</v>
      </c>
      <c r="F243">
        <v>141.6</v>
      </c>
      <c r="G243">
        <v>144.9</v>
      </c>
      <c r="H243">
        <v>120.8</v>
      </c>
      <c r="I243">
        <v>149.80000000000001</v>
      </c>
      <c r="J243">
        <v>192.4</v>
      </c>
      <c r="K243">
        <v>130.30000000000001</v>
      </c>
      <c r="L243">
        <v>114</v>
      </c>
      <c r="M243">
        <v>143.80000000000001</v>
      </c>
      <c r="N243">
        <v>130</v>
      </c>
      <c r="O243">
        <v>156.4</v>
      </c>
      <c r="P243">
        <v>149.5</v>
      </c>
      <c r="Q243">
        <v>168.6</v>
      </c>
      <c r="R243">
        <v>145.30000000000001</v>
      </c>
      <c r="S243">
        <v>132.19999999999999</v>
      </c>
      <c r="T243">
        <v>143.30000000000001</v>
      </c>
      <c r="U243">
        <v>152.19999999999999</v>
      </c>
      <c r="V243">
        <v>126.6</v>
      </c>
      <c r="W243">
        <v>138.30000000000001</v>
      </c>
      <c r="X243">
        <v>141.9</v>
      </c>
      <c r="Y243">
        <v>121.2</v>
      </c>
      <c r="Z243">
        <v>135.9</v>
      </c>
      <c r="AA243">
        <v>151.6</v>
      </c>
      <c r="AB243">
        <v>139</v>
      </c>
      <c r="AC243">
        <v>135.69999999999999</v>
      </c>
      <c r="AD243">
        <v>144.69999999999999</v>
      </c>
    </row>
    <row r="244" spans="1:30" x14ac:dyDescent="0.3">
      <c r="A244" t="s">
        <v>34</v>
      </c>
      <c r="B244">
        <v>2019</v>
      </c>
      <c r="C244" t="s">
        <v>42</v>
      </c>
      <c r="D244">
        <v>140.9</v>
      </c>
      <c r="E244">
        <v>160.80000000000001</v>
      </c>
      <c r="F244">
        <v>139.6</v>
      </c>
      <c r="G244">
        <v>145.4</v>
      </c>
      <c r="H244">
        <v>123.5</v>
      </c>
      <c r="I244">
        <v>146.6</v>
      </c>
      <c r="J244">
        <v>173.2</v>
      </c>
      <c r="K244">
        <v>131.6</v>
      </c>
      <c r="L244">
        <v>113.2</v>
      </c>
      <c r="M244">
        <v>144.1</v>
      </c>
      <c r="N244">
        <v>135</v>
      </c>
      <c r="O244">
        <v>156.80000000000001</v>
      </c>
      <c r="P244">
        <v>147</v>
      </c>
      <c r="Q244">
        <v>166.5</v>
      </c>
      <c r="R244">
        <v>149.19999999999999</v>
      </c>
      <c r="S244">
        <v>140.6</v>
      </c>
      <c r="T244">
        <v>147.9</v>
      </c>
      <c r="U244">
        <v>152.19999999999999</v>
      </c>
      <c r="V244">
        <v>139.19999999999999</v>
      </c>
      <c r="W244">
        <v>144.6</v>
      </c>
      <c r="X244">
        <v>149</v>
      </c>
      <c r="Y244">
        <v>126.1</v>
      </c>
      <c r="Z244">
        <v>141.30000000000001</v>
      </c>
      <c r="AA244">
        <v>155.19999999999999</v>
      </c>
      <c r="AB244">
        <v>139.69999999999999</v>
      </c>
      <c r="AC244">
        <v>140.69999999999999</v>
      </c>
      <c r="AD244">
        <v>145.80000000000001</v>
      </c>
    </row>
    <row r="245" spans="1:30" x14ac:dyDescent="0.3">
      <c r="A245" t="s">
        <v>30</v>
      </c>
      <c r="B245">
        <v>2019</v>
      </c>
      <c r="C245" t="s">
        <v>43</v>
      </c>
      <c r="D245">
        <v>141</v>
      </c>
      <c r="E245">
        <v>161.6</v>
      </c>
      <c r="F245">
        <v>141.19999999999999</v>
      </c>
      <c r="G245">
        <v>146.5</v>
      </c>
      <c r="H245">
        <v>125.6</v>
      </c>
      <c r="I245">
        <v>145.69999999999999</v>
      </c>
      <c r="J245">
        <v>178.8</v>
      </c>
      <c r="K245">
        <v>133.1</v>
      </c>
      <c r="L245">
        <v>113.6</v>
      </c>
      <c r="M245">
        <v>145.5</v>
      </c>
      <c r="N245">
        <v>138.6</v>
      </c>
      <c r="O245">
        <v>157.4</v>
      </c>
      <c r="P245">
        <v>148.30000000000001</v>
      </c>
      <c r="Q245">
        <v>166.3</v>
      </c>
      <c r="R245">
        <v>151.69999999999999</v>
      </c>
      <c r="S245">
        <v>146.69999999999999</v>
      </c>
      <c r="T245">
        <v>151</v>
      </c>
      <c r="U245" t="s">
        <v>32</v>
      </c>
      <c r="V245">
        <v>147.69999999999999</v>
      </c>
      <c r="W245">
        <v>150.6</v>
      </c>
      <c r="X245">
        <v>153.69999999999999</v>
      </c>
      <c r="Y245">
        <v>131.69999999999999</v>
      </c>
      <c r="Z245">
        <v>148.69999999999999</v>
      </c>
      <c r="AA245">
        <v>160.69999999999999</v>
      </c>
      <c r="AB245">
        <v>140.30000000000001</v>
      </c>
      <c r="AC245">
        <v>145.69999999999999</v>
      </c>
      <c r="AD245">
        <v>148.30000000000001</v>
      </c>
    </row>
    <row r="246" spans="1:30" x14ac:dyDescent="0.3">
      <c r="A246" t="s">
        <v>33</v>
      </c>
      <c r="B246">
        <v>2019</v>
      </c>
      <c r="C246" t="s">
        <v>43</v>
      </c>
      <c r="D246">
        <v>143.5</v>
      </c>
      <c r="E246">
        <v>159.80000000000001</v>
      </c>
      <c r="F246">
        <v>144.69999999999999</v>
      </c>
      <c r="G246">
        <v>145.6</v>
      </c>
      <c r="H246">
        <v>121.1</v>
      </c>
      <c r="I246">
        <v>150.6</v>
      </c>
      <c r="J246">
        <v>207.2</v>
      </c>
      <c r="K246">
        <v>131.19999999999999</v>
      </c>
      <c r="L246">
        <v>114.8</v>
      </c>
      <c r="M246">
        <v>145.19999999999999</v>
      </c>
      <c r="N246">
        <v>130.19999999999999</v>
      </c>
      <c r="O246">
        <v>156.80000000000001</v>
      </c>
      <c r="P246">
        <v>151.9</v>
      </c>
      <c r="Q246">
        <v>169.3</v>
      </c>
      <c r="R246">
        <v>145.9</v>
      </c>
      <c r="S246">
        <v>132.4</v>
      </c>
      <c r="T246">
        <v>143.9</v>
      </c>
      <c r="U246">
        <v>153</v>
      </c>
      <c r="V246">
        <v>128.9</v>
      </c>
      <c r="W246">
        <v>138.69999999999999</v>
      </c>
      <c r="X246">
        <v>142.4</v>
      </c>
      <c r="Y246">
        <v>121.5</v>
      </c>
      <c r="Z246">
        <v>136.19999999999999</v>
      </c>
      <c r="AA246">
        <v>151.69999999999999</v>
      </c>
      <c r="AB246">
        <v>139.5</v>
      </c>
      <c r="AC246">
        <v>136</v>
      </c>
      <c r="AD246">
        <v>146</v>
      </c>
    </row>
    <row r="247" spans="1:30" x14ac:dyDescent="0.3">
      <c r="A247" t="s">
        <v>34</v>
      </c>
      <c r="B247">
        <v>2019</v>
      </c>
      <c r="C247" t="s">
        <v>43</v>
      </c>
      <c r="D247">
        <v>141.80000000000001</v>
      </c>
      <c r="E247">
        <v>161</v>
      </c>
      <c r="F247">
        <v>142.6</v>
      </c>
      <c r="G247">
        <v>146.19999999999999</v>
      </c>
      <c r="H247">
        <v>123.9</v>
      </c>
      <c r="I247">
        <v>148</v>
      </c>
      <c r="J247">
        <v>188.4</v>
      </c>
      <c r="K247">
        <v>132.5</v>
      </c>
      <c r="L247">
        <v>114</v>
      </c>
      <c r="M247">
        <v>145.4</v>
      </c>
      <c r="N247">
        <v>135.1</v>
      </c>
      <c r="O247">
        <v>157.1</v>
      </c>
      <c r="P247">
        <v>149.6</v>
      </c>
      <c r="Q247">
        <v>167.1</v>
      </c>
      <c r="R247">
        <v>149.4</v>
      </c>
      <c r="S247">
        <v>140.80000000000001</v>
      </c>
      <c r="T247">
        <v>148.19999999999999</v>
      </c>
      <c r="U247">
        <v>153</v>
      </c>
      <c r="V247">
        <v>140.6</v>
      </c>
      <c r="W247">
        <v>145</v>
      </c>
      <c r="X247">
        <v>149.4</v>
      </c>
      <c r="Y247">
        <v>126.3</v>
      </c>
      <c r="Z247">
        <v>141.69999999999999</v>
      </c>
      <c r="AA247">
        <v>155.4</v>
      </c>
      <c r="AB247">
        <v>140</v>
      </c>
      <c r="AC247">
        <v>141</v>
      </c>
      <c r="AD247">
        <v>147.19999999999999</v>
      </c>
    </row>
    <row r="248" spans="1:30" x14ac:dyDescent="0.3">
      <c r="A248" t="s">
        <v>30</v>
      </c>
      <c r="B248">
        <v>2019</v>
      </c>
      <c r="C248" t="s">
        <v>44</v>
      </c>
      <c r="D248">
        <v>141.80000000000001</v>
      </c>
      <c r="E248">
        <v>163.69999999999999</v>
      </c>
      <c r="F248">
        <v>143.80000000000001</v>
      </c>
      <c r="G248">
        <v>147.1</v>
      </c>
      <c r="H248">
        <v>126</v>
      </c>
      <c r="I248">
        <v>146.19999999999999</v>
      </c>
      <c r="J248">
        <v>191.4</v>
      </c>
      <c r="K248">
        <v>136.19999999999999</v>
      </c>
      <c r="L248">
        <v>113.8</v>
      </c>
      <c r="M248">
        <v>147.30000000000001</v>
      </c>
      <c r="N248">
        <v>138.69999999999999</v>
      </c>
      <c r="O248">
        <v>157.69999999999999</v>
      </c>
      <c r="P248">
        <v>150.9</v>
      </c>
      <c r="Q248">
        <v>167.2</v>
      </c>
      <c r="R248">
        <v>152.30000000000001</v>
      </c>
      <c r="S248">
        <v>147</v>
      </c>
      <c r="T248">
        <v>151.5</v>
      </c>
      <c r="U248" t="s">
        <v>32</v>
      </c>
      <c r="V248">
        <v>148.4</v>
      </c>
      <c r="W248">
        <v>150.9</v>
      </c>
      <c r="X248">
        <v>154.30000000000001</v>
      </c>
      <c r="Y248">
        <v>132.1</v>
      </c>
      <c r="Z248">
        <v>149.1</v>
      </c>
      <c r="AA248">
        <v>160.80000000000001</v>
      </c>
      <c r="AB248">
        <v>140.6</v>
      </c>
      <c r="AC248">
        <v>146.1</v>
      </c>
      <c r="AD248">
        <v>149.9</v>
      </c>
    </row>
    <row r="249" spans="1:30" x14ac:dyDescent="0.3">
      <c r="A249" t="s">
        <v>33</v>
      </c>
      <c r="B249">
        <v>2019</v>
      </c>
      <c r="C249" t="s">
        <v>44</v>
      </c>
      <c r="D249">
        <v>144.1</v>
      </c>
      <c r="E249">
        <v>162.4</v>
      </c>
      <c r="F249">
        <v>148.4</v>
      </c>
      <c r="G249">
        <v>145.9</v>
      </c>
      <c r="H249">
        <v>121.5</v>
      </c>
      <c r="I249">
        <v>148.80000000000001</v>
      </c>
      <c r="J249">
        <v>215.7</v>
      </c>
      <c r="K249">
        <v>134.6</v>
      </c>
      <c r="L249">
        <v>115</v>
      </c>
      <c r="M249">
        <v>146.30000000000001</v>
      </c>
      <c r="N249">
        <v>130.5</v>
      </c>
      <c r="O249">
        <v>157.19999999999999</v>
      </c>
      <c r="P249">
        <v>153.6</v>
      </c>
      <c r="Q249">
        <v>169.9</v>
      </c>
      <c r="R249">
        <v>146.30000000000001</v>
      </c>
      <c r="S249">
        <v>132.6</v>
      </c>
      <c r="T249">
        <v>144.19999999999999</v>
      </c>
      <c r="U249">
        <v>153.5</v>
      </c>
      <c r="V249">
        <v>132.19999999999999</v>
      </c>
      <c r="W249">
        <v>139.1</v>
      </c>
      <c r="X249">
        <v>142.80000000000001</v>
      </c>
      <c r="Y249">
        <v>121.7</v>
      </c>
      <c r="Z249">
        <v>136.69999999999999</v>
      </c>
      <c r="AA249">
        <v>151.80000000000001</v>
      </c>
      <c r="AB249">
        <v>139.80000000000001</v>
      </c>
      <c r="AC249">
        <v>136.30000000000001</v>
      </c>
      <c r="AD249">
        <v>147</v>
      </c>
    </row>
    <row r="250" spans="1:30" x14ac:dyDescent="0.3">
      <c r="A250" t="s">
        <v>34</v>
      </c>
      <c r="B250">
        <v>2019</v>
      </c>
      <c r="C250" t="s">
        <v>44</v>
      </c>
      <c r="D250">
        <v>142.5</v>
      </c>
      <c r="E250">
        <v>163.19999999999999</v>
      </c>
      <c r="F250">
        <v>145.6</v>
      </c>
      <c r="G250">
        <v>146.69999999999999</v>
      </c>
      <c r="H250">
        <v>124.3</v>
      </c>
      <c r="I250">
        <v>147.4</v>
      </c>
      <c r="J250">
        <v>199.6</v>
      </c>
      <c r="K250">
        <v>135.69999999999999</v>
      </c>
      <c r="L250">
        <v>114.2</v>
      </c>
      <c r="M250">
        <v>147</v>
      </c>
      <c r="N250">
        <v>135.30000000000001</v>
      </c>
      <c r="O250">
        <v>157.5</v>
      </c>
      <c r="P250">
        <v>151.9</v>
      </c>
      <c r="Q250">
        <v>167.9</v>
      </c>
      <c r="R250">
        <v>149.9</v>
      </c>
      <c r="S250">
        <v>141</v>
      </c>
      <c r="T250">
        <v>148.6</v>
      </c>
      <c r="U250">
        <v>153.5</v>
      </c>
      <c r="V250">
        <v>142.30000000000001</v>
      </c>
      <c r="W250">
        <v>145.30000000000001</v>
      </c>
      <c r="X250">
        <v>149.9</v>
      </c>
      <c r="Y250">
        <v>126.6</v>
      </c>
      <c r="Z250">
        <v>142.1</v>
      </c>
      <c r="AA250">
        <v>155.5</v>
      </c>
      <c r="AB250">
        <v>140.30000000000001</v>
      </c>
      <c r="AC250">
        <v>141.30000000000001</v>
      </c>
      <c r="AD250">
        <v>148.6</v>
      </c>
    </row>
    <row r="251" spans="1:30" x14ac:dyDescent="0.3">
      <c r="A251" t="s">
        <v>30</v>
      </c>
      <c r="B251">
        <v>2019</v>
      </c>
      <c r="C251" t="s">
        <v>45</v>
      </c>
      <c r="D251">
        <v>142.80000000000001</v>
      </c>
      <c r="E251">
        <v>165.3</v>
      </c>
      <c r="F251">
        <v>149.5</v>
      </c>
      <c r="G251">
        <v>148.69999999999999</v>
      </c>
      <c r="H251">
        <v>127.5</v>
      </c>
      <c r="I251">
        <v>144.30000000000001</v>
      </c>
      <c r="J251">
        <v>209.5</v>
      </c>
      <c r="K251">
        <v>138.80000000000001</v>
      </c>
      <c r="L251">
        <v>113.6</v>
      </c>
      <c r="M251">
        <v>149.1</v>
      </c>
      <c r="N251">
        <v>139.30000000000001</v>
      </c>
      <c r="O251">
        <v>158.30000000000001</v>
      </c>
      <c r="P251">
        <v>154.30000000000001</v>
      </c>
      <c r="Q251">
        <v>167.8</v>
      </c>
      <c r="R251">
        <v>152.6</v>
      </c>
      <c r="S251">
        <v>147.30000000000001</v>
      </c>
      <c r="T251">
        <v>151.9</v>
      </c>
      <c r="U251" t="s">
        <v>32</v>
      </c>
      <c r="V251">
        <v>149.9</v>
      </c>
      <c r="W251">
        <v>151.19999999999999</v>
      </c>
      <c r="X251">
        <v>154.80000000000001</v>
      </c>
      <c r="Y251">
        <v>135</v>
      </c>
      <c r="Z251">
        <v>149.5</v>
      </c>
      <c r="AA251">
        <v>161.1</v>
      </c>
      <c r="AB251">
        <v>140.6</v>
      </c>
      <c r="AC251">
        <v>147.1</v>
      </c>
      <c r="AD251">
        <v>152.30000000000001</v>
      </c>
    </row>
    <row r="252" spans="1:30" x14ac:dyDescent="0.3">
      <c r="A252" t="s">
        <v>33</v>
      </c>
      <c r="B252">
        <v>2019</v>
      </c>
      <c r="C252" t="s">
        <v>45</v>
      </c>
      <c r="D252">
        <v>144.9</v>
      </c>
      <c r="E252">
        <v>164.5</v>
      </c>
      <c r="F252">
        <v>153.69999999999999</v>
      </c>
      <c r="G252">
        <v>147.5</v>
      </c>
      <c r="H252">
        <v>122.7</v>
      </c>
      <c r="I252">
        <v>147.19999999999999</v>
      </c>
      <c r="J252">
        <v>231.5</v>
      </c>
      <c r="K252">
        <v>137.19999999999999</v>
      </c>
      <c r="L252">
        <v>114.7</v>
      </c>
      <c r="M252">
        <v>148</v>
      </c>
      <c r="N252">
        <v>130.80000000000001</v>
      </c>
      <c r="O252">
        <v>157.69999999999999</v>
      </c>
      <c r="P252">
        <v>156.30000000000001</v>
      </c>
      <c r="Q252">
        <v>170.4</v>
      </c>
      <c r="R252">
        <v>146.80000000000001</v>
      </c>
      <c r="S252">
        <v>132.80000000000001</v>
      </c>
      <c r="T252">
        <v>144.6</v>
      </c>
      <c r="U252">
        <v>152.80000000000001</v>
      </c>
      <c r="V252">
        <v>133.6</v>
      </c>
      <c r="W252">
        <v>139.80000000000001</v>
      </c>
      <c r="X252">
        <v>143.19999999999999</v>
      </c>
      <c r="Y252">
        <v>125.2</v>
      </c>
      <c r="Z252">
        <v>136.80000000000001</v>
      </c>
      <c r="AA252">
        <v>151.9</v>
      </c>
      <c r="AB252">
        <v>140.19999999999999</v>
      </c>
      <c r="AC252">
        <v>137.69999999999999</v>
      </c>
      <c r="AD252">
        <v>148.30000000000001</v>
      </c>
    </row>
    <row r="253" spans="1:30" x14ac:dyDescent="0.3">
      <c r="A253" t="s">
        <v>34</v>
      </c>
      <c r="B253">
        <v>2019</v>
      </c>
      <c r="C253" t="s">
        <v>45</v>
      </c>
      <c r="D253">
        <v>143.5</v>
      </c>
      <c r="E253">
        <v>165</v>
      </c>
      <c r="F253">
        <v>151.1</v>
      </c>
      <c r="G253">
        <v>148.30000000000001</v>
      </c>
      <c r="H253">
        <v>125.7</v>
      </c>
      <c r="I253">
        <v>145.69999999999999</v>
      </c>
      <c r="J253">
        <v>217</v>
      </c>
      <c r="K253">
        <v>138.30000000000001</v>
      </c>
      <c r="L253">
        <v>114</v>
      </c>
      <c r="M253">
        <v>148.69999999999999</v>
      </c>
      <c r="N253">
        <v>135.80000000000001</v>
      </c>
      <c r="O253">
        <v>158</v>
      </c>
      <c r="P253">
        <v>155</v>
      </c>
      <c r="Q253">
        <v>168.5</v>
      </c>
      <c r="R253">
        <v>150.30000000000001</v>
      </c>
      <c r="S253">
        <v>141.30000000000001</v>
      </c>
      <c r="T253">
        <v>149</v>
      </c>
      <c r="U253">
        <v>152.80000000000001</v>
      </c>
      <c r="V253">
        <v>143.69999999999999</v>
      </c>
      <c r="W253">
        <v>145.80000000000001</v>
      </c>
      <c r="X253">
        <v>150.4</v>
      </c>
      <c r="Y253">
        <v>129.80000000000001</v>
      </c>
      <c r="Z253">
        <v>142.30000000000001</v>
      </c>
      <c r="AA253">
        <v>155.69999999999999</v>
      </c>
      <c r="AB253">
        <v>140.4</v>
      </c>
      <c r="AC253">
        <v>142.5</v>
      </c>
      <c r="AD253">
        <v>150.4</v>
      </c>
    </row>
    <row r="254" spans="1:30" x14ac:dyDescent="0.3">
      <c r="A254" t="s">
        <v>30</v>
      </c>
      <c r="B254">
        <v>2020</v>
      </c>
      <c r="C254" t="s">
        <v>31</v>
      </c>
      <c r="D254">
        <v>143.69999999999999</v>
      </c>
      <c r="E254">
        <v>167.3</v>
      </c>
      <c r="F254">
        <v>153.5</v>
      </c>
      <c r="G254">
        <v>150.5</v>
      </c>
      <c r="H254">
        <v>132</v>
      </c>
      <c r="I254">
        <v>142.19999999999999</v>
      </c>
      <c r="J254">
        <v>191.5</v>
      </c>
      <c r="K254">
        <v>141.1</v>
      </c>
      <c r="L254">
        <v>113.8</v>
      </c>
      <c r="M254">
        <v>151.6</v>
      </c>
      <c r="N254">
        <v>139.69999999999999</v>
      </c>
      <c r="O254">
        <v>158.69999999999999</v>
      </c>
      <c r="P254">
        <v>153</v>
      </c>
      <c r="Q254">
        <v>168.6</v>
      </c>
      <c r="R254">
        <v>152.80000000000001</v>
      </c>
      <c r="S254">
        <v>147.4</v>
      </c>
      <c r="T254">
        <v>152.1</v>
      </c>
      <c r="U254" t="s">
        <v>32</v>
      </c>
      <c r="V254">
        <v>150.4</v>
      </c>
      <c r="W254">
        <v>151.69999999999999</v>
      </c>
      <c r="X254">
        <v>155.69999999999999</v>
      </c>
      <c r="Y254">
        <v>136.30000000000001</v>
      </c>
      <c r="Z254">
        <v>150.1</v>
      </c>
      <c r="AA254">
        <v>161.69999999999999</v>
      </c>
      <c r="AB254">
        <v>142.5</v>
      </c>
      <c r="AC254">
        <v>148.1</v>
      </c>
      <c r="AD254">
        <v>151.9</v>
      </c>
    </row>
    <row r="255" spans="1:30" x14ac:dyDescent="0.3">
      <c r="A255" t="s">
        <v>33</v>
      </c>
      <c r="B255">
        <v>2020</v>
      </c>
      <c r="C255" t="s">
        <v>31</v>
      </c>
      <c r="D255">
        <v>145.6</v>
      </c>
      <c r="E255">
        <v>167.6</v>
      </c>
      <c r="F255">
        <v>157</v>
      </c>
      <c r="G255">
        <v>149.30000000000001</v>
      </c>
      <c r="H255">
        <v>126.3</v>
      </c>
      <c r="I255">
        <v>144.4</v>
      </c>
      <c r="J255">
        <v>207.8</v>
      </c>
      <c r="K255">
        <v>139.1</v>
      </c>
      <c r="L255">
        <v>114.8</v>
      </c>
      <c r="M255">
        <v>149.5</v>
      </c>
      <c r="N255">
        <v>131.1</v>
      </c>
      <c r="O255">
        <v>158.5</v>
      </c>
      <c r="P255">
        <v>154.4</v>
      </c>
      <c r="Q255">
        <v>170.8</v>
      </c>
      <c r="R255">
        <v>147</v>
      </c>
      <c r="S255">
        <v>133.19999999999999</v>
      </c>
      <c r="T255">
        <v>144.9</v>
      </c>
      <c r="U255">
        <v>153.9</v>
      </c>
      <c r="V255">
        <v>135.1</v>
      </c>
      <c r="W255">
        <v>140.1</v>
      </c>
      <c r="X255">
        <v>143.80000000000001</v>
      </c>
      <c r="Y255">
        <v>126.1</v>
      </c>
      <c r="Z255">
        <v>137.19999999999999</v>
      </c>
      <c r="AA255">
        <v>152.1</v>
      </c>
      <c r="AB255">
        <v>142.1</v>
      </c>
      <c r="AC255">
        <v>138.4</v>
      </c>
      <c r="AD255">
        <v>148.19999999999999</v>
      </c>
    </row>
    <row r="256" spans="1:30" x14ac:dyDescent="0.3">
      <c r="A256" t="s">
        <v>34</v>
      </c>
      <c r="B256">
        <v>2020</v>
      </c>
      <c r="C256" t="s">
        <v>31</v>
      </c>
      <c r="D256">
        <v>144.30000000000001</v>
      </c>
      <c r="E256">
        <v>167.4</v>
      </c>
      <c r="F256">
        <v>154.9</v>
      </c>
      <c r="G256">
        <v>150.1</v>
      </c>
      <c r="H256">
        <v>129.9</v>
      </c>
      <c r="I256">
        <v>143.19999999999999</v>
      </c>
      <c r="J256">
        <v>197</v>
      </c>
      <c r="K256">
        <v>140.4</v>
      </c>
      <c r="L256">
        <v>114.1</v>
      </c>
      <c r="M256">
        <v>150.9</v>
      </c>
      <c r="N256">
        <v>136.1</v>
      </c>
      <c r="O256">
        <v>158.6</v>
      </c>
      <c r="P256">
        <v>153.5</v>
      </c>
      <c r="Q256">
        <v>169.2</v>
      </c>
      <c r="R256">
        <v>150.5</v>
      </c>
      <c r="S256">
        <v>141.5</v>
      </c>
      <c r="T256">
        <v>149.19999999999999</v>
      </c>
      <c r="U256">
        <v>153.9</v>
      </c>
      <c r="V256">
        <v>144.6</v>
      </c>
      <c r="W256">
        <v>146.19999999999999</v>
      </c>
      <c r="X256">
        <v>151.19999999999999</v>
      </c>
      <c r="Y256">
        <v>130.9</v>
      </c>
      <c r="Z256">
        <v>142.80000000000001</v>
      </c>
      <c r="AA256">
        <v>156.1</v>
      </c>
      <c r="AB256">
        <v>142.30000000000001</v>
      </c>
      <c r="AC256">
        <v>143.4</v>
      </c>
      <c r="AD256">
        <v>150.19999999999999</v>
      </c>
    </row>
    <row r="257" spans="1:30" x14ac:dyDescent="0.3">
      <c r="A257" t="s">
        <v>30</v>
      </c>
      <c r="B257">
        <v>2020</v>
      </c>
      <c r="C257" t="s">
        <v>35</v>
      </c>
      <c r="D257">
        <v>144.19999999999999</v>
      </c>
      <c r="E257">
        <v>167.5</v>
      </c>
      <c r="F257">
        <v>150.9</v>
      </c>
      <c r="G257">
        <v>150.9</v>
      </c>
      <c r="H257">
        <v>133.69999999999999</v>
      </c>
      <c r="I257">
        <v>140.69999999999999</v>
      </c>
      <c r="J257">
        <v>165.1</v>
      </c>
      <c r="K257">
        <v>141.80000000000001</v>
      </c>
      <c r="L257">
        <v>113.1</v>
      </c>
      <c r="M257">
        <v>152.80000000000001</v>
      </c>
      <c r="N257">
        <v>140.1</v>
      </c>
      <c r="O257">
        <v>159.19999999999999</v>
      </c>
      <c r="P257">
        <v>149.80000000000001</v>
      </c>
      <c r="Q257">
        <v>169.4</v>
      </c>
      <c r="R257">
        <v>153</v>
      </c>
      <c r="S257">
        <v>147.5</v>
      </c>
      <c r="T257">
        <v>152.30000000000001</v>
      </c>
      <c r="U257" t="s">
        <v>32</v>
      </c>
      <c r="V257">
        <v>152.30000000000001</v>
      </c>
      <c r="W257">
        <v>151.80000000000001</v>
      </c>
      <c r="X257">
        <v>156.19999999999999</v>
      </c>
      <c r="Y257">
        <v>136</v>
      </c>
      <c r="Z257">
        <v>150.4</v>
      </c>
      <c r="AA257">
        <v>161.9</v>
      </c>
      <c r="AB257">
        <v>143.4</v>
      </c>
      <c r="AC257">
        <v>148.4</v>
      </c>
      <c r="AD257">
        <v>150.4</v>
      </c>
    </row>
    <row r="258" spans="1:30" x14ac:dyDescent="0.3">
      <c r="A258" t="s">
        <v>33</v>
      </c>
      <c r="B258">
        <v>2020</v>
      </c>
      <c r="C258" t="s">
        <v>35</v>
      </c>
      <c r="D258">
        <v>146.19999999999999</v>
      </c>
      <c r="E258">
        <v>167.6</v>
      </c>
      <c r="F258">
        <v>153.1</v>
      </c>
      <c r="G258">
        <v>150.69999999999999</v>
      </c>
      <c r="H258">
        <v>127.4</v>
      </c>
      <c r="I258">
        <v>143.1</v>
      </c>
      <c r="J258">
        <v>181.7</v>
      </c>
      <c r="K258">
        <v>139.6</v>
      </c>
      <c r="L258">
        <v>114.6</v>
      </c>
      <c r="M258">
        <v>150.4</v>
      </c>
      <c r="N258">
        <v>131.5</v>
      </c>
      <c r="O258">
        <v>159</v>
      </c>
      <c r="P258">
        <v>151.69999999999999</v>
      </c>
      <c r="Q258">
        <v>172</v>
      </c>
      <c r="R258">
        <v>147.30000000000001</v>
      </c>
      <c r="S258">
        <v>133.5</v>
      </c>
      <c r="T258">
        <v>145.19999999999999</v>
      </c>
      <c r="U258">
        <v>154.80000000000001</v>
      </c>
      <c r="V258">
        <v>138.9</v>
      </c>
      <c r="W258">
        <v>140.4</v>
      </c>
      <c r="X258">
        <v>144.4</v>
      </c>
      <c r="Y258">
        <v>125.2</v>
      </c>
      <c r="Z258">
        <v>137.69999999999999</v>
      </c>
      <c r="AA258">
        <v>152.19999999999999</v>
      </c>
      <c r="AB258">
        <v>143.5</v>
      </c>
      <c r="AC258">
        <v>138.4</v>
      </c>
      <c r="AD258">
        <v>147.69999999999999</v>
      </c>
    </row>
    <row r="259" spans="1:30" x14ac:dyDescent="0.3">
      <c r="A259" t="s">
        <v>34</v>
      </c>
      <c r="B259">
        <v>2020</v>
      </c>
      <c r="C259" t="s">
        <v>35</v>
      </c>
      <c r="D259">
        <v>144.80000000000001</v>
      </c>
      <c r="E259">
        <v>167.5</v>
      </c>
      <c r="F259">
        <v>151.80000000000001</v>
      </c>
      <c r="G259">
        <v>150.80000000000001</v>
      </c>
      <c r="H259">
        <v>131.4</v>
      </c>
      <c r="I259">
        <v>141.80000000000001</v>
      </c>
      <c r="J259">
        <v>170.7</v>
      </c>
      <c r="K259">
        <v>141.1</v>
      </c>
      <c r="L259">
        <v>113.6</v>
      </c>
      <c r="M259">
        <v>152</v>
      </c>
      <c r="N259">
        <v>136.5</v>
      </c>
      <c r="O259">
        <v>159.1</v>
      </c>
      <c r="P259">
        <v>150.5</v>
      </c>
      <c r="Q259">
        <v>170.1</v>
      </c>
      <c r="R259">
        <v>150.80000000000001</v>
      </c>
      <c r="S259">
        <v>141.69999999999999</v>
      </c>
      <c r="T259">
        <v>149.5</v>
      </c>
      <c r="U259">
        <v>154.80000000000001</v>
      </c>
      <c r="V259">
        <v>147.19999999999999</v>
      </c>
      <c r="W259">
        <v>146.4</v>
      </c>
      <c r="X259">
        <v>151.69999999999999</v>
      </c>
      <c r="Y259">
        <v>130.30000000000001</v>
      </c>
      <c r="Z259">
        <v>143.19999999999999</v>
      </c>
      <c r="AA259">
        <v>156.19999999999999</v>
      </c>
      <c r="AB259">
        <v>143.4</v>
      </c>
      <c r="AC259">
        <v>143.6</v>
      </c>
      <c r="AD259">
        <v>149.1</v>
      </c>
    </row>
    <row r="260" spans="1:30" x14ac:dyDescent="0.3">
      <c r="A260" t="s">
        <v>30</v>
      </c>
      <c r="B260">
        <v>2020</v>
      </c>
      <c r="C260" t="s">
        <v>36</v>
      </c>
      <c r="D260">
        <v>144.4</v>
      </c>
      <c r="E260">
        <v>166.8</v>
      </c>
      <c r="F260">
        <v>147.6</v>
      </c>
      <c r="G260">
        <v>151.69999999999999</v>
      </c>
      <c r="H260">
        <v>133.30000000000001</v>
      </c>
      <c r="I260">
        <v>141.80000000000001</v>
      </c>
      <c r="J260">
        <v>152.30000000000001</v>
      </c>
      <c r="K260">
        <v>141.80000000000001</v>
      </c>
      <c r="L260">
        <v>112.6</v>
      </c>
      <c r="M260">
        <v>154</v>
      </c>
      <c r="N260">
        <v>140.1</v>
      </c>
      <c r="O260">
        <v>160</v>
      </c>
      <c r="P260">
        <v>148.19999999999999</v>
      </c>
      <c r="Q260">
        <v>170.5</v>
      </c>
      <c r="R260">
        <v>153.4</v>
      </c>
      <c r="S260">
        <v>147.6</v>
      </c>
      <c r="T260">
        <v>152.5</v>
      </c>
      <c r="U260" t="s">
        <v>32</v>
      </c>
      <c r="V260">
        <v>153.4</v>
      </c>
      <c r="W260">
        <v>151.5</v>
      </c>
      <c r="X260">
        <v>156.69999999999999</v>
      </c>
      <c r="Y260">
        <v>135.80000000000001</v>
      </c>
      <c r="Z260">
        <v>151.19999999999999</v>
      </c>
      <c r="AA260">
        <v>161.19999999999999</v>
      </c>
      <c r="AB260">
        <v>145.1</v>
      </c>
      <c r="AC260">
        <v>148.6</v>
      </c>
      <c r="AD260">
        <v>149.80000000000001</v>
      </c>
    </row>
    <row r="261" spans="1:30" x14ac:dyDescent="0.3">
      <c r="A261" t="s">
        <v>33</v>
      </c>
      <c r="B261">
        <v>2020</v>
      </c>
      <c r="C261" t="s">
        <v>36</v>
      </c>
      <c r="D261">
        <v>146.5</v>
      </c>
      <c r="E261">
        <v>167.5</v>
      </c>
      <c r="F261">
        <v>148.9</v>
      </c>
      <c r="G261">
        <v>151.1</v>
      </c>
      <c r="H261">
        <v>127.5</v>
      </c>
      <c r="I261">
        <v>143.30000000000001</v>
      </c>
      <c r="J261">
        <v>167</v>
      </c>
      <c r="K261">
        <v>139.69999999999999</v>
      </c>
      <c r="L261">
        <v>114.4</v>
      </c>
      <c r="M261">
        <v>151.5</v>
      </c>
      <c r="N261">
        <v>131.9</v>
      </c>
      <c r="O261">
        <v>159.1</v>
      </c>
      <c r="P261">
        <v>150.1</v>
      </c>
      <c r="Q261">
        <v>173.3</v>
      </c>
      <c r="R261">
        <v>147.69999999999999</v>
      </c>
      <c r="S261">
        <v>133.80000000000001</v>
      </c>
      <c r="T261">
        <v>145.6</v>
      </c>
      <c r="U261">
        <v>154.5</v>
      </c>
      <c r="V261">
        <v>141.4</v>
      </c>
      <c r="W261">
        <v>140.80000000000001</v>
      </c>
      <c r="X261">
        <v>145</v>
      </c>
      <c r="Y261">
        <v>124.6</v>
      </c>
      <c r="Z261">
        <v>137.9</v>
      </c>
      <c r="AA261">
        <v>152.5</v>
      </c>
      <c r="AB261">
        <v>145.30000000000001</v>
      </c>
      <c r="AC261">
        <v>138.69999999999999</v>
      </c>
      <c r="AD261">
        <v>147.30000000000001</v>
      </c>
    </row>
    <row r="262" spans="1:30" x14ac:dyDescent="0.3">
      <c r="A262" t="s">
        <v>34</v>
      </c>
      <c r="B262">
        <v>2020</v>
      </c>
      <c r="C262" t="s">
        <v>36</v>
      </c>
      <c r="D262">
        <v>145.1</v>
      </c>
      <c r="E262">
        <v>167</v>
      </c>
      <c r="F262">
        <v>148.1</v>
      </c>
      <c r="G262">
        <v>151.5</v>
      </c>
      <c r="H262">
        <v>131.19999999999999</v>
      </c>
      <c r="I262">
        <v>142.5</v>
      </c>
      <c r="J262">
        <v>157.30000000000001</v>
      </c>
      <c r="K262">
        <v>141.1</v>
      </c>
      <c r="L262">
        <v>113.2</v>
      </c>
      <c r="M262">
        <v>153.19999999999999</v>
      </c>
      <c r="N262">
        <v>136.69999999999999</v>
      </c>
      <c r="O262">
        <v>159.6</v>
      </c>
      <c r="P262">
        <v>148.9</v>
      </c>
      <c r="Q262">
        <v>171.2</v>
      </c>
      <c r="R262">
        <v>151.19999999999999</v>
      </c>
      <c r="S262">
        <v>141.9</v>
      </c>
      <c r="T262">
        <v>149.80000000000001</v>
      </c>
      <c r="U262">
        <v>154.5</v>
      </c>
      <c r="V262">
        <v>148.9</v>
      </c>
      <c r="W262">
        <v>146.4</v>
      </c>
      <c r="X262">
        <v>152.30000000000001</v>
      </c>
      <c r="Y262">
        <v>129.9</v>
      </c>
      <c r="Z262">
        <v>143.69999999999999</v>
      </c>
      <c r="AA262">
        <v>156.1</v>
      </c>
      <c r="AB262">
        <v>145.19999999999999</v>
      </c>
      <c r="AC262">
        <v>143.80000000000001</v>
      </c>
      <c r="AD262">
        <v>148.6</v>
      </c>
    </row>
    <row r="263" spans="1:30" x14ac:dyDescent="0.3">
      <c r="A263" t="s">
        <v>30</v>
      </c>
      <c r="B263">
        <v>2020</v>
      </c>
      <c r="C263" t="s">
        <v>37</v>
      </c>
      <c r="D263">
        <v>147.19999999999999</v>
      </c>
      <c r="E263" s="8">
        <v>174.86666666666667</v>
      </c>
      <c r="F263">
        <v>146.9</v>
      </c>
      <c r="G263">
        <v>155.6</v>
      </c>
      <c r="H263">
        <v>137.1</v>
      </c>
      <c r="I263">
        <v>147.30000000000001</v>
      </c>
      <c r="J263">
        <v>162.69999999999999</v>
      </c>
      <c r="K263">
        <v>150.19999999999999</v>
      </c>
      <c r="L263">
        <v>119.8</v>
      </c>
      <c r="M263">
        <v>158.69999999999999</v>
      </c>
      <c r="N263">
        <v>139.19999999999999</v>
      </c>
      <c r="O263" s="1">
        <v>160.30000000000001</v>
      </c>
      <c r="P263">
        <v>150.1</v>
      </c>
      <c r="Q263" s="1">
        <v>174.1</v>
      </c>
      <c r="R263" s="1">
        <v>153.69999999999999</v>
      </c>
      <c r="S263" s="1">
        <v>148.4</v>
      </c>
      <c r="T263">
        <v>153</v>
      </c>
      <c r="U263" t="s">
        <v>32</v>
      </c>
      <c r="V263" s="7">
        <v>148.4</v>
      </c>
      <c r="W263" s="8">
        <v>151.66666666666666</v>
      </c>
      <c r="X263" s="7">
        <v>154.30000000000001</v>
      </c>
      <c r="Y263" s="8">
        <v>137.73333333333335</v>
      </c>
      <c r="Z263" s="8">
        <v>151.6</v>
      </c>
      <c r="AA263" s="8">
        <v>161.63333333333335</v>
      </c>
      <c r="AB263" s="8">
        <v>146.56666666666666</v>
      </c>
      <c r="AC263" s="8">
        <v>149.56666666666666</v>
      </c>
      <c r="AD263" s="8">
        <v>150.96666666666667</v>
      </c>
    </row>
    <row r="264" spans="1:30" x14ac:dyDescent="0.3">
      <c r="A264" t="s">
        <v>33</v>
      </c>
      <c r="B264">
        <v>2020</v>
      </c>
      <c r="C264" t="s">
        <v>37</v>
      </c>
      <c r="D264">
        <v>151.80000000000001</v>
      </c>
      <c r="E264">
        <v>177.32222222222222</v>
      </c>
      <c r="F264">
        <v>151.9</v>
      </c>
      <c r="G264">
        <v>155.5</v>
      </c>
      <c r="H264">
        <v>131.6</v>
      </c>
      <c r="I264">
        <v>152.9</v>
      </c>
      <c r="J264">
        <v>180</v>
      </c>
      <c r="K264">
        <v>150.80000000000001</v>
      </c>
      <c r="L264">
        <v>121.2</v>
      </c>
      <c r="M264">
        <v>154</v>
      </c>
      <c r="N264">
        <v>133.5</v>
      </c>
      <c r="O264">
        <v>160.70000000000002</v>
      </c>
      <c r="P264">
        <v>153.5</v>
      </c>
      <c r="Q264" s="1">
        <v>172.65</v>
      </c>
      <c r="R264">
        <v>147.5</v>
      </c>
      <c r="S264">
        <v>133.65</v>
      </c>
      <c r="T264">
        <v>145.39999999999998</v>
      </c>
      <c r="U264">
        <v>155.6</v>
      </c>
      <c r="V264" s="7">
        <v>137.1</v>
      </c>
      <c r="W264" s="8">
        <f>AVERAGE(W258,W261,W270)</f>
        <v>140.53333333333333</v>
      </c>
      <c r="X264" s="7">
        <v>144.80000000000001</v>
      </c>
      <c r="Y264" s="8">
        <v>126.36666666666667</v>
      </c>
      <c r="Z264" s="8">
        <v>140.03333333333333</v>
      </c>
      <c r="AA264" s="8">
        <v>152.4</v>
      </c>
      <c r="AB264" s="8">
        <v>147</v>
      </c>
      <c r="AC264" s="8">
        <v>139.70000000000002</v>
      </c>
      <c r="AD264" s="8">
        <v>148.6</v>
      </c>
    </row>
    <row r="265" spans="1:30" x14ac:dyDescent="0.3">
      <c r="A265" t="s">
        <v>34</v>
      </c>
      <c r="B265">
        <v>2020</v>
      </c>
      <c r="C265" t="s">
        <v>37</v>
      </c>
      <c r="D265">
        <v>148.69999999999999</v>
      </c>
      <c r="E265" s="8">
        <f>AVERAGE(E259,E262,E271)</f>
        <v>175.73333333333335</v>
      </c>
      <c r="F265">
        <v>148.80000000000001</v>
      </c>
      <c r="G265">
        <v>155.6</v>
      </c>
      <c r="H265">
        <v>135.1</v>
      </c>
      <c r="I265">
        <v>149.9</v>
      </c>
      <c r="J265">
        <v>168.6</v>
      </c>
      <c r="K265">
        <v>150.4</v>
      </c>
      <c r="L265">
        <v>120.3</v>
      </c>
      <c r="M265">
        <v>157.1</v>
      </c>
      <c r="N265">
        <v>136.80000000000001</v>
      </c>
      <c r="O265" s="8">
        <v>160.16666666666666</v>
      </c>
      <c r="P265">
        <v>151.4</v>
      </c>
      <c r="Q265" s="8">
        <v>160.16666666666666</v>
      </c>
      <c r="R265" s="8">
        <v>160.16666666666666</v>
      </c>
      <c r="S265" s="8">
        <v>160.16666666666666</v>
      </c>
      <c r="T265" s="8">
        <v>160.16666666666666</v>
      </c>
      <c r="U265">
        <v>155.6</v>
      </c>
      <c r="V265" s="7">
        <v>144.1</v>
      </c>
      <c r="W265" s="8">
        <v>160.16666666666666</v>
      </c>
      <c r="X265" s="7">
        <v>150.69999999999999</v>
      </c>
      <c r="Y265" s="8">
        <v>160.16666666666666</v>
      </c>
      <c r="Z265" s="8">
        <v>160.16666666666666</v>
      </c>
      <c r="AA265" s="8">
        <v>160.16666666666666</v>
      </c>
      <c r="AB265" s="8">
        <v>160.16666666666666</v>
      </c>
      <c r="AC265" s="8">
        <v>160.16666666666666</v>
      </c>
      <c r="AD265" s="8">
        <v>160.16666666666666</v>
      </c>
    </row>
    <row r="266" spans="1:30" x14ac:dyDescent="0.3">
      <c r="A266" t="s">
        <v>30</v>
      </c>
      <c r="B266">
        <v>2020</v>
      </c>
      <c r="C266" t="s">
        <v>38</v>
      </c>
      <c r="D266" s="8">
        <v>146.6</v>
      </c>
      <c r="E266" s="8">
        <v>177.32222222222222</v>
      </c>
      <c r="F266" s="8">
        <v>147.96666666666667</v>
      </c>
      <c r="G266" s="8">
        <v>153.53333333333333</v>
      </c>
      <c r="H266" s="8">
        <v>136.19999999999999</v>
      </c>
      <c r="I266" s="8">
        <v>144.1</v>
      </c>
      <c r="J266" s="8">
        <v>154.63333333333333</v>
      </c>
      <c r="K266" s="8">
        <v>147.43333333333334</v>
      </c>
      <c r="L266" s="8">
        <v>115.19999999999999</v>
      </c>
      <c r="M266" s="8">
        <v>157.5</v>
      </c>
      <c r="N266" s="8">
        <v>140.46666666666667</v>
      </c>
      <c r="O266" s="8">
        <v>160.70000000000002</v>
      </c>
      <c r="P266" s="8">
        <v>150.19999999999999</v>
      </c>
      <c r="Q266" s="8">
        <v>175.66666666666666</v>
      </c>
      <c r="R266" s="8">
        <v>153.93333333333334</v>
      </c>
      <c r="S266" s="8">
        <v>148.66666666666666</v>
      </c>
      <c r="T266" s="8">
        <v>153.20000000000002</v>
      </c>
      <c r="U266" t="s">
        <v>32</v>
      </c>
      <c r="V266" s="8">
        <v>148.9</v>
      </c>
      <c r="W266" s="8">
        <v>151.62222222222221</v>
      </c>
      <c r="X266" s="8">
        <v>156.4</v>
      </c>
      <c r="Y266" s="8">
        <v>138.31111111111113</v>
      </c>
      <c r="Z266" s="8">
        <v>151.99999999999997</v>
      </c>
      <c r="AA266" s="8">
        <v>161.54444444444445</v>
      </c>
      <c r="AB266" s="8">
        <v>147.62222222222221</v>
      </c>
      <c r="AC266" s="8">
        <v>149.95555555555555</v>
      </c>
      <c r="AD266" s="8">
        <v>151.15555555555554</v>
      </c>
    </row>
    <row r="267" spans="1:30" x14ac:dyDescent="0.3">
      <c r="A267" t="s">
        <v>33</v>
      </c>
      <c r="B267">
        <v>2020</v>
      </c>
      <c r="C267" t="s">
        <v>38</v>
      </c>
      <c r="D267" s="6">
        <f>AVERAGE(D261,D264,D270)</f>
        <v>150.33333333333334</v>
      </c>
      <c r="E267" s="8">
        <v>150.33333333333334</v>
      </c>
      <c r="F267" s="8">
        <v>150.33333333333334</v>
      </c>
      <c r="G267" s="8">
        <v>150.33333333333334</v>
      </c>
      <c r="H267" s="8">
        <v>150.33333333333334</v>
      </c>
      <c r="I267" s="8">
        <v>150.33333333333334</v>
      </c>
      <c r="J267" s="8">
        <v>150.33333333333334</v>
      </c>
      <c r="K267" s="8">
        <v>150.33333333333334</v>
      </c>
      <c r="L267" s="8">
        <v>150.33333333333334</v>
      </c>
      <c r="M267" s="8">
        <v>150.33333333333334</v>
      </c>
      <c r="N267" s="8">
        <v>150.33333333333334</v>
      </c>
      <c r="O267" s="8">
        <v>150.33333333333334</v>
      </c>
      <c r="P267" s="8">
        <v>150.33333333333334</v>
      </c>
      <c r="Q267" s="8">
        <f>AVERAGE(Q261,Q264,Q270)</f>
        <v>177.55000000000004</v>
      </c>
      <c r="R267" s="8">
        <v>148.1</v>
      </c>
      <c r="S267" s="8">
        <v>134.68333333333337</v>
      </c>
      <c r="T267" s="8">
        <v>146.06666666666666</v>
      </c>
      <c r="U267" t="s">
        <v>32</v>
      </c>
      <c r="V267" s="8">
        <v>138.53333333333333</v>
      </c>
      <c r="W267" s="8">
        <v>140.57777777777778</v>
      </c>
      <c r="X267" s="8">
        <v>145.96666666666667</v>
      </c>
      <c r="Y267" s="8">
        <v>126.75555555555555</v>
      </c>
      <c r="Z267" s="8">
        <v>140.8111111111111</v>
      </c>
      <c r="AA267" s="8">
        <v>152.46666666666667</v>
      </c>
      <c r="AB267" s="8">
        <v>148.16666666666666</v>
      </c>
      <c r="AC267" s="8">
        <v>140.13333333333333</v>
      </c>
      <c r="AD267" s="8">
        <v>148.9</v>
      </c>
    </row>
    <row r="268" spans="1:30" x14ac:dyDescent="0.3">
      <c r="A268" t="s">
        <v>34</v>
      </c>
      <c r="B268">
        <v>2020</v>
      </c>
      <c r="C268" t="s">
        <v>38</v>
      </c>
      <c r="D268" s="6">
        <f>AVERAGE(D262,D265,D271)</f>
        <v>147.79999999999998</v>
      </c>
      <c r="E268" s="8">
        <f t="shared" ref="E268:S268" si="0">AVERAGE(E262,E265,E271)</f>
        <v>178.47777777777779</v>
      </c>
      <c r="F268" s="8">
        <f t="shared" si="0"/>
        <v>149.43333333333331</v>
      </c>
      <c r="G268" s="8">
        <f t="shared" si="0"/>
        <v>153.46666666666667</v>
      </c>
      <c r="H268" s="8">
        <f t="shared" si="0"/>
        <v>134.19999999999999</v>
      </c>
      <c r="I268" s="8">
        <f t="shared" si="0"/>
        <v>146.53333333333333</v>
      </c>
      <c r="J268" s="8">
        <f t="shared" si="0"/>
        <v>160.79999999999998</v>
      </c>
      <c r="K268" s="8">
        <f t="shared" si="0"/>
        <v>147.46666666666667</v>
      </c>
      <c r="L268" s="8">
        <f t="shared" si="0"/>
        <v>115.89999999999999</v>
      </c>
      <c r="M268" s="8">
        <f t="shared" si="0"/>
        <v>156.6</v>
      </c>
      <c r="N268" s="8">
        <f t="shared" si="0"/>
        <v>137.63333333333333</v>
      </c>
      <c r="O268" s="8">
        <f t="shared" si="0"/>
        <v>160.52222222222221</v>
      </c>
      <c r="P268" s="8">
        <f t="shared" si="0"/>
        <v>151.43333333333334</v>
      </c>
      <c r="Q268" s="8">
        <f t="shared" si="0"/>
        <v>171.62222222222223</v>
      </c>
      <c r="R268" s="8">
        <f t="shared" si="0"/>
        <v>154.62222222222223</v>
      </c>
      <c r="S268" s="8">
        <f t="shared" si="0"/>
        <v>148.82222222222222</v>
      </c>
      <c r="T268" s="8">
        <v>153.78888888888889</v>
      </c>
      <c r="U268" t="s">
        <v>32</v>
      </c>
      <c r="V268" s="8">
        <v>144.96666666666667</v>
      </c>
      <c r="W268" s="8">
        <v>150.98888888888891</v>
      </c>
      <c r="X268" s="8">
        <v>152.46666666666667</v>
      </c>
      <c r="Y268" s="8">
        <v>141.6888888888889</v>
      </c>
      <c r="Z268" s="8">
        <v>150.72222222222223</v>
      </c>
      <c r="AA268" s="8">
        <v>157.55555555555554</v>
      </c>
      <c r="AB268" s="8">
        <v>152.32222222222222</v>
      </c>
      <c r="AC268" s="8">
        <v>150.32222222222222</v>
      </c>
      <c r="AD268" s="8">
        <v>153.52222222222221</v>
      </c>
    </row>
    <row r="269" spans="1:30" x14ac:dyDescent="0.3">
      <c r="A269" t="s">
        <v>30</v>
      </c>
      <c r="B269">
        <v>2020</v>
      </c>
      <c r="C269" t="s">
        <v>39</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39</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34</v>
      </c>
      <c r="B271">
        <v>2020</v>
      </c>
      <c r="C271" t="s">
        <v>39</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v>2020</v>
      </c>
      <c r="C272" t="s">
        <v>40</v>
      </c>
      <c r="D272">
        <v>148.19999999999999</v>
      </c>
      <c r="E272">
        <v>190.3</v>
      </c>
      <c r="F272">
        <v>149.4</v>
      </c>
      <c r="G272">
        <v>153.30000000000001</v>
      </c>
      <c r="H272">
        <v>138.19999999999999</v>
      </c>
      <c r="I272">
        <v>143.19999999999999</v>
      </c>
      <c r="J272">
        <v>148.9</v>
      </c>
      <c r="K272">
        <v>150.30000000000001</v>
      </c>
      <c r="L272">
        <v>113.2</v>
      </c>
      <c r="M272">
        <v>159.80000000000001</v>
      </c>
      <c r="N272">
        <v>142.1</v>
      </c>
      <c r="O272">
        <v>161.80000000000001</v>
      </c>
      <c r="P272">
        <v>152.30000000000001</v>
      </c>
      <c r="Q272">
        <v>182.4</v>
      </c>
      <c r="R272">
        <v>154.69999999999999</v>
      </c>
      <c r="S272">
        <v>150</v>
      </c>
      <c r="T272">
        <v>154.1</v>
      </c>
      <c r="U272" t="s">
        <v>32</v>
      </c>
      <c r="V272">
        <v>144.9</v>
      </c>
      <c r="W272">
        <v>151.69999999999999</v>
      </c>
      <c r="X272">
        <v>158.19999999999999</v>
      </c>
      <c r="Y272">
        <v>141.4</v>
      </c>
      <c r="Z272">
        <v>153.19999999999999</v>
      </c>
      <c r="AA272">
        <v>161.80000000000001</v>
      </c>
      <c r="AB272">
        <v>151.19999999999999</v>
      </c>
      <c r="AC272">
        <v>151.69999999999999</v>
      </c>
      <c r="AD272">
        <v>152.69999999999999</v>
      </c>
    </row>
    <row r="273" spans="1:30" x14ac:dyDescent="0.3">
      <c r="A273" t="s">
        <v>33</v>
      </c>
      <c r="B273">
        <v>2020</v>
      </c>
      <c r="C273" t="s">
        <v>40</v>
      </c>
      <c r="D273">
        <v>152.69999999999999</v>
      </c>
      <c r="E273">
        <v>197</v>
      </c>
      <c r="F273">
        <v>154.6</v>
      </c>
      <c r="G273">
        <v>153.4</v>
      </c>
      <c r="H273">
        <v>132.9</v>
      </c>
      <c r="I273">
        <v>151.80000000000001</v>
      </c>
      <c r="J273">
        <v>171.2</v>
      </c>
      <c r="K273">
        <v>152</v>
      </c>
      <c r="L273">
        <v>116.3</v>
      </c>
      <c r="M273">
        <v>158.80000000000001</v>
      </c>
      <c r="N273">
        <v>135.6</v>
      </c>
      <c r="O273">
        <v>161.69999999999999</v>
      </c>
      <c r="P273">
        <v>157</v>
      </c>
      <c r="Q273">
        <v>186.7</v>
      </c>
      <c r="R273">
        <v>149.1</v>
      </c>
      <c r="S273">
        <v>136.6</v>
      </c>
      <c r="T273">
        <v>147.19999999999999</v>
      </c>
      <c r="U273">
        <v>154.69999999999999</v>
      </c>
      <c r="V273">
        <v>137.1</v>
      </c>
      <c r="W273">
        <v>140.4</v>
      </c>
      <c r="X273">
        <v>148.1</v>
      </c>
      <c r="Y273">
        <v>129.30000000000001</v>
      </c>
      <c r="Z273">
        <v>144.5</v>
      </c>
      <c r="AA273">
        <v>152.5</v>
      </c>
      <c r="AB273">
        <v>152.19999999999999</v>
      </c>
      <c r="AC273">
        <v>142</v>
      </c>
      <c r="AD273">
        <v>150.80000000000001</v>
      </c>
    </row>
    <row r="274" spans="1:30" x14ac:dyDescent="0.3">
      <c r="A274" t="s">
        <v>34</v>
      </c>
      <c r="B274">
        <v>2020</v>
      </c>
      <c r="C274" t="s">
        <v>40</v>
      </c>
      <c r="D274">
        <v>149.6</v>
      </c>
      <c r="E274">
        <v>192.7</v>
      </c>
      <c r="F274">
        <v>151.4</v>
      </c>
      <c r="G274">
        <v>153.30000000000001</v>
      </c>
      <c r="H274">
        <v>136.30000000000001</v>
      </c>
      <c r="I274">
        <v>147.19999999999999</v>
      </c>
      <c r="J274">
        <v>156.5</v>
      </c>
      <c r="K274">
        <v>150.9</v>
      </c>
      <c r="L274">
        <v>114.2</v>
      </c>
      <c r="M274">
        <v>159.5</v>
      </c>
      <c r="N274">
        <v>139.4</v>
      </c>
      <c r="O274">
        <v>161.80000000000001</v>
      </c>
      <c r="P274">
        <v>154</v>
      </c>
      <c r="Q274">
        <v>183.5</v>
      </c>
      <c r="R274">
        <v>152.5</v>
      </c>
      <c r="S274">
        <v>144.4</v>
      </c>
      <c r="T274">
        <v>151.4</v>
      </c>
      <c r="U274">
        <v>154.69999999999999</v>
      </c>
      <c r="V274">
        <v>141.9</v>
      </c>
      <c r="W274">
        <v>146.4</v>
      </c>
      <c r="X274">
        <v>154.4</v>
      </c>
      <c r="Y274">
        <v>135</v>
      </c>
      <c r="Z274">
        <v>148.30000000000001</v>
      </c>
      <c r="AA274">
        <v>156.4</v>
      </c>
      <c r="AB274">
        <v>151.6</v>
      </c>
      <c r="AC274">
        <v>147</v>
      </c>
      <c r="AD274">
        <v>151.80000000000001</v>
      </c>
    </row>
    <row r="275" spans="1:30" x14ac:dyDescent="0.3">
      <c r="A275" t="s">
        <v>30</v>
      </c>
      <c r="B275">
        <v>2020</v>
      </c>
      <c r="C275" t="s">
        <v>41</v>
      </c>
      <c r="D275">
        <v>147.6</v>
      </c>
      <c r="E275">
        <v>187.2</v>
      </c>
      <c r="F275">
        <v>148.4</v>
      </c>
      <c r="G275">
        <v>153.30000000000001</v>
      </c>
      <c r="H275">
        <v>139.80000000000001</v>
      </c>
      <c r="I275">
        <v>146.9</v>
      </c>
      <c r="J275">
        <v>171</v>
      </c>
      <c r="K275">
        <v>149.9</v>
      </c>
      <c r="L275">
        <v>114.2</v>
      </c>
      <c r="M275">
        <v>160</v>
      </c>
      <c r="N275">
        <v>143.5</v>
      </c>
      <c r="O275">
        <v>161.5</v>
      </c>
      <c r="P275">
        <v>155.30000000000001</v>
      </c>
      <c r="Q275">
        <v>180.9</v>
      </c>
      <c r="R275">
        <v>155.1</v>
      </c>
      <c r="S275">
        <v>149.30000000000001</v>
      </c>
      <c r="T275">
        <v>154.30000000000001</v>
      </c>
      <c r="U275" t="s">
        <v>32</v>
      </c>
      <c r="V275">
        <v>145.80000000000001</v>
      </c>
      <c r="W275">
        <v>151.9</v>
      </c>
      <c r="X275">
        <v>158.80000000000001</v>
      </c>
      <c r="Y275">
        <v>143.6</v>
      </c>
      <c r="Z275">
        <v>152.19999999999999</v>
      </c>
      <c r="AA275">
        <v>162.69999999999999</v>
      </c>
      <c r="AB275">
        <v>153.6</v>
      </c>
      <c r="AC275">
        <v>153</v>
      </c>
      <c r="AD275">
        <v>154.69999999999999</v>
      </c>
    </row>
    <row r="276" spans="1:30" x14ac:dyDescent="0.3">
      <c r="A276" t="s">
        <v>33</v>
      </c>
      <c r="B276">
        <v>2020</v>
      </c>
      <c r="C276" t="s">
        <v>41</v>
      </c>
      <c r="D276">
        <v>151.6</v>
      </c>
      <c r="E276">
        <v>197.8</v>
      </c>
      <c r="F276">
        <v>154.5</v>
      </c>
      <c r="G276">
        <v>153.4</v>
      </c>
      <c r="H276">
        <v>133.4</v>
      </c>
      <c r="I276">
        <v>154.5</v>
      </c>
      <c r="J276">
        <v>191.9</v>
      </c>
      <c r="K276">
        <v>151.30000000000001</v>
      </c>
      <c r="L276">
        <v>116.8</v>
      </c>
      <c r="M276">
        <v>160</v>
      </c>
      <c r="N276">
        <v>136.5</v>
      </c>
      <c r="O276">
        <v>163.30000000000001</v>
      </c>
      <c r="P276">
        <v>159.9</v>
      </c>
      <c r="Q276">
        <v>187.2</v>
      </c>
      <c r="R276">
        <v>150</v>
      </c>
      <c r="S276">
        <v>135.19999999999999</v>
      </c>
      <c r="T276">
        <v>147.80000000000001</v>
      </c>
      <c r="U276">
        <v>155.5</v>
      </c>
      <c r="V276">
        <v>138.30000000000001</v>
      </c>
      <c r="W276">
        <v>144.5</v>
      </c>
      <c r="X276">
        <v>148.69999999999999</v>
      </c>
      <c r="Y276">
        <v>133.9</v>
      </c>
      <c r="Z276">
        <v>141.19999999999999</v>
      </c>
      <c r="AA276">
        <v>155.5</v>
      </c>
      <c r="AB276">
        <v>155.19999999999999</v>
      </c>
      <c r="AC276">
        <v>144.80000000000001</v>
      </c>
      <c r="AD276">
        <v>152.9</v>
      </c>
    </row>
    <row r="277" spans="1:30" x14ac:dyDescent="0.3">
      <c r="A277" t="s">
        <v>34</v>
      </c>
      <c r="B277">
        <v>2020</v>
      </c>
      <c r="C277" t="s">
        <v>41</v>
      </c>
      <c r="D277">
        <v>148.9</v>
      </c>
      <c r="E277">
        <v>190.9</v>
      </c>
      <c r="F277">
        <v>150.80000000000001</v>
      </c>
      <c r="G277">
        <v>153.30000000000001</v>
      </c>
      <c r="H277">
        <v>137.4</v>
      </c>
      <c r="I277">
        <v>150.4</v>
      </c>
      <c r="J277">
        <v>178.1</v>
      </c>
      <c r="K277">
        <v>150.4</v>
      </c>
      <c r="L277">
        <v>115.1</v>
      </c>
      <c r="M277">
        <v>160</v>
      </c>
      <c r="N277">
        <v>140.6</v>
      </c>
      <c r="O277">
        <v>162.30000000000001</v>
      </c>
      <c r="P277">
        <v>157</v>
      </c>
      <c r="Q277">
        <v>182.6</v>
      </c>
      <c r="R277">
        <v>153.1</v>
      </c>
      <c r="S277">
        <v>143.4</v>
      </c>
      <c r="T277">
        <v>151.69999999999999</v>
      </c>
      <c r="U277">
        <v>155.5</v>
      </c>
      <c r="V277">
        <v>143</v>
      </c>
      <c r="W277">
        <v>148.4</v>
      </c>
      <c r="X277">
        <v>155</v>
      </c>
      <c r="Y277">
        <v>138.5</v>
      </c>
      <c r="Z277">
        <v>146</v>
      </c>
      <c r="AA277">
        <v>158.5</v>
      </c>
      <c r="AB277">
        <v>154.30000000000001</v>
      </c>
      <c r="AC277">
        <v>149</v>
      </c>
      <c r="AD277">
        <v>153.9</v>
      </c>
    </row>
    <row r="278" spans="1:30" x14ac:dyDescent="0.3">
      <c r="A278" t="s">
        <v>30</v>
      </c>
      <c r="B278">
        <v>2020</v>
      </c>
      <c r="C278" t="s">
        <v>42</v>
      </c>
      <c r="D278">
        <v>146.9</v>
      </c>
      <c r="E278">
        <v>183.9</v>
      </c>
      <c r="F278">
        <v>149.5</v>
      </c>
      <c r="G278">
        <v>153.4</v>
      </c>
      <c r="H278">
        <v>140.4</v>
      </c>
      <c r="I278">
        <v>147</v>
      </c>
      <c r="J278">
        <v>178.8</v>
      </c>
      <c r="K278">
        <v>149.30000000000001</v>
      </c>
      <c r="L278">
        <v>115.1</v>
      </c>
      <c r="M278">
        <v>160</v>
      </c>
      <c r="N278">
        <v>145.4</v>
      </c>
      <c r="O278">
        <v>161.6</v>
      </c>
      <c r="P278">
        <v>156.1</v>
      </c>
      <c r="Q278">
        <v>182.9</v>
      </c>
      <c r="R278">
        <v>155.4</v>
      </c>
      <c r="S278">
        <v>149.9</v>
      </c>
      <c r="T278">
        <v>154.6</v>
      </c>
      <c r="U278" t="s">
        <v>32</v>
      </c>
      <c r="V278">
        <v>146.4</v>
      </c>
      <c r="W278">
        <v>151.6</v>
      </c>
      <c r="X278">
        <v>159.1</v>
      </c>
      <c r="Y278">
        <v>144.6</v>
      </c>
      <c r="Z278">
        <v>152.80000000000001</v>
      </c>
      <c r="AA278">
        <v>161.1</v>
      </c>
      <c r="AB278">
        <v>157.4</v>
      </c>
      <c r="AC278">
        <v>153.69999999999999</v>
      </c>
      <c r="AD278">
        <v>155.4</v>
      </c>
    </row>
    <row r="279" spans="1:30" x14ac:dyDescent="0.3">
      <c r="A279" t="s">
        <v>33</v>
      </c>
      <c r="B279">
        <v>2020</v>
      </c>
      <c r="C279" t="s">
        <v>42</v>
      </c>
      <c r="D279">
        <v>151.5</v>
      </c>
      <c r="E279">
        <v>193.1</v>
      </c>
      <c r="F279">
        <v>157.30000000000001</v>
      </c>
      <c r="G279">
        <v>153.9</v>
      </c>
      <c r="H279">
        <v>134.4</v>
      </c>
      <c r="I279">
        <v>155.4</v>
      </c>
      <c r="J279">
        <v>202</v>
      </c>
      <c r="K279">
        <v>150.80000000000001</v>
      </c>
      <c r="L279">
        <v>118.9</v>
      </c>
      <c r="M279">
        <v>160.9</v>
      </c>
      <c r="N279">
        <v>137.69999999999999</v>
      </c>
      <c r="O279">
        <v>164.4</v>
      </c>
      <c r="P279">
        <v>161.30000000000001</v>
      </c>
      <c r="Q279">
        <v>188.7</v>
      </c>
      <c r="R279">
        <v>150.19999999999999</v>
      </c>
      <c r="S279">
        <v>136.30000000000001</v>
      </c>
      <c r="T279">
        <v>148.1</v>
      </c>
      <c r="U279">
        <v>156.30000000000001</v>
      </c>
      <c r="V279">
        <v>137.19999999999999</v>
      </c>
      <c r="W279">
        <v>145.4</v>
      </c>
      <c r="X279">
        <v>150</v>
      </c>
      <c r="Y279">
        <v>135.1</v>
      </c>
      <c r="Z279">
        <v>141.80000000000001</v>
      </c>
      <c r="AA279">
        <v>154.9</v>
      </c>
      <c r="AB279">
        <v>159.80000000000001</v>
      </c>
      <c r="AC279">
        <v>146</v>
      </c>
      <c r="AD279">
        <v>154</v>
      </c>
    </row>
    <row r="280" spans="1:30" x14ac:dyDescent="0.3">
      <c r="A280" t="s">
        <v>34</v>
      </c>
      <c r="B280">
        <v>2020</v>
      </c>
      <c r="C280" t="s">
        <v>42</v>
      </c>
      <c r="D280">
        <v>148.4</v>
      </c>
      <c r="E280">
        <v>187.1</v>
      </c>
      <c r="F280">
        <v>152.5</v>
      </c>
      <c r="G280">
        <v>153.6</v>
      </c>
      <c r="H280">
        <v>138.19999999999999</v>
      </c>
      <c r="I280">
        <v>150.9</v>
      </c>
      <c r="J280">
        <v>186.7</v>
      </c>
      <c r="K280">
        <v>149.80000000000001</v>
      </c>
      <c r="L280">
        <v>116.4</v>
      </c>
      <c r="M280">
        <v>160.30000000000001</v>
      </c>
      <c r="N280">
        <v>142.19999999999999</v>
      </c>
      <c r="O280">
        <v>162.9</v>
      </c>
      <c r="P280">
        <v>158</v>
      </c>
      <c r="Q280">
        <v>184.4</v>
      </c>
      <c r="R280">
        <v>153.4</v>
      </c>
      <c r="S280">
        <v>144.30000000000001</v>
      </c>
      <c r="T280">
        <v>152</v>
      </c>
      <c r="U280">
        <v>156.30000000000001</v>
      </c>
      <c r="V280">
        <v>142.9</v>
      </c>
      <c r="W280">
        <v>148.69999999999999</v>
      </c>
      <c r="X280">
        <v>155.6</v>
      </c>
      <c r="Y280">
        <v>139.6</v>
      </c>
      <c r="Z280">
        <v>146.6</v>
      </c>
      <c r="AA280">
        <v>157.5</v>
      </c>
      <c r="AB280">
        <v>158.4</v>
      </c>
      <c r="AC280">
        <v>150</v>
      </c>
      <c r="AD280">
        <v>154.69999999999999</v>
      </c>
    </row>
    <row r="281" spans="1:30" x14ac:dyDescent="0.3">
      <c r="A281" t="s">
        <v>30</v>
      </c>
      <c r="B281">
        <v>2020</v>
      </c>
      <c r="C281" t="s">
        <v>43</v>
      </c>
      <c r="D281">
        <v>146</v>
      </c>
      <c r="E281">
        <v>186.3</v>
      </c>
      <c r="F281">
        <v>159.19999999999999</v>
      </c>
      <c r="G281">
        <v>153.6</v>
      </c>
      <c r="H281">
        <v>142.6</v>
      </c>
      <c r="I281">
        <v>147.19999999999999</v>
      </c>
      <c r="J281">
        <v>200.6</v>
      </c>
      <c r="K281">
        <v>150.30000000000001</v>
      </c>
      <c r="L281">
        <v>115.3</v>
      </c>
      <c r="M281">
        <v>160.9</v>
      </c>
      <c r="N281">
        <v>147.4</v>
      </c>
      <c r="O281">
        <v>161.9</v>
      </c>
      <c r="P281">
        <v>159.6</v>
      </c>
      <c r="Q281">
        <v>182.7</v>
      </c>
      <c r="R281">
        <v>155.69999999999999</v>
      </c>
      <c r="S281">
        <v>150.6</v>
      </c>
      <c r="T281">
        <v>155</v>
      </c>
      <c r="U281" t="s">
        <v>32</v>
      </c>
      <c r="V281">
        <v>146.80000000000001</v>
      </c>
      <c r="W281">
        <v>152</v>
      </c>
      <c r="X281">
        <v>159.5</v>
      </c>
      <c r="Y281">
        <v>146.4</v>
      </c>
      <c r="Z281">
        <v>152.4</v>
      </c>
      <c r="AA281">
        <v>162.5</v>
      </c>
      <c r="AB281">
        <v>156.19999999999999</v>
      </c>
      <c r="AC281">
        <v>154.30000000000001</v>
      </c>
      <c r="AD281">
        <v>157.5</v>
      </c>
    </row>
    <row r="282" spans="1:30" x14ac:dyDescent="0.3">
      <c r="A282" t="s">
        <v>33</v>
      </c>
      <c r="B282">
        <v>2020</v>
      </c>
      <c r="C282" t="s">
        <v>43</v>
      </c>
      <c r="D282">
        <v>150.6</v>
      </c>
      <c r="E282">
        <v>193.7</v>
      </c>
      <c r="F282">
        <v>164.8</v>
      </c>
      <c r="G282">
        <v>153.69999999999999</v>
      </c>
      <c r="H282">
        <v>135.69999999999999</v>
      </c>
      <c r="I282">
        <v>155.69999999999999</v>
      </c>
      <c r="J282">
        <v>226</v>
      </c>
      <c r="K282">
        <v>152.19999999999999</v>
      </c>
      <c r="L282">
        <v>118.1</v>
      </c>
      <c r="M282">
        <v>161.30000000000001</v>
      </c>
      <c r="N282">
        <v>139.19999999999999</v>
      </c>
      <c r="O282">
        <v>164.8</v>
      </c>
      <c r="P282">
        <v>164.4</v>
      </c>
      <c r="Q282">
        <v>188.7</v>
      </c>
      <c r="R282">
        <v>150.5</v>
      </c>
      <c r="S282">
        <v>136.1</v>
      </c>
      <c r="T282">
        <v>148.30000000000001</v>
      </c>
      <c r="U282">
        <v>156.5</v>
      </c>
      <c r="V282">
        <v>137.1</v>
      </c>
      <c r="W282">
        <v>145.1</v>
      </c>
      <c r="X282">
        <v>151</v>
      </c>
      <c r="Y282">
        <v>135.4</v>
      </c>
      <c r="Z282">
        <v>142</v>
      </c>
      <c r="AA282">
        <v>155.69999999999999</v>
      </c>
      <c r="AB282">
        <v>158.1</v>
      </c>
      <c r="AC282">
        <v>146.19999999999999</v>
      </c>
      <c r="AD282">
        <v>155.19999999999999</v>
      </c>
    </row>
    <row r="283" spans="1:30" x14ac:dyDescent="0.3">
      <c r="A283" t="s">
        <v>34</v>
      </c>
      <c r="B283">
        <v>2020</v>
      </c>
      <c r="C283" t="s">
        <v>43</v>
      </c>
      <c r="D283">
        <v>147.5</v>
      </c>
      <c r="E283">
        <v>188.9</v>
      </c>
      <c r="F283">
        <v>161.4</v>
      </c>
      <c r="G283">
        <v>153.6</v>
      </c>
      <c r="H283">
        <v>140.1</v>
      </c>
      <c r="I283">
        <v>151.19999999999999</v>
      </c>
      <c r="J283">
        <v>209.2</v>
      </c>
      <c r="K283">
        <v>150.9</v>
      </c>
      <c r="L283">
        <v>116.2</v>
      </c>
      <c r="M283">
        <v>161</v>
      </c>
      <c r="N283">
        <v>144</v>
      </c>
      <c r="O283">
        <v>163.19999999999999</v>
      </c>
      <c r="P283">
        <v>161.4</v>
      </c>
      <c r="Q283">
        <v>184.3</v>
      </c>
      <c r="R283">
        <v>153.69999999999999</v>
      </c>
      <c r="S283">
        <v>144.6</v>
      </c>
      <c r="T283">
        <v>152.30000000000001</v>
      </c>
      <c r="U283">
        <v>156.5</v>
      </c>
      <c r="V283">
        <v>143.1</v>
      </c>
      <c r="W283">
        <v>148.69999999999999</v>
      </c>
      <c r="X283">
        <v>156.30000000000001</v>
      </c>
      <c r="Y283">
        <v>140.6</v>
      </c>
      <c r="Z283">
        <v>146.5</v>
      </c>
      <c r="AA283">
        <v>158.5</v>
      </c>
      <c r="AB283">
        <v>157</v>
      </c>
      <c r="AC283">
        <v>150.4</v>
      </c>
      <c r="AD283">
        <v>156.4</v>
      </c>
    </row>
    <row r="284" spans="1:30" x14ac:dyDescent="0.3">
      <c r="A284" t="s">
        <v>30</v>
      </c>
      <c r="B284">
        <v>2020</v>
      </c>
      <c r="C284" t="s">
        <v>44</v>
      </c>
      <c r="D284">
        <v>145.4</v>
      </c>
      <c r="E284">
        <v>188.6</v>
      </c>
      <c r="F284">
        <v>171.6</v>
      </c>
      <c r="G284">
        <v>153.80000000000001</v>
      </c>
      <c r="H284">
        <v>145.4</v>
      </c>
      <c r="I284">
        <v>146.5</v>
      </c>
      <c r="J284">
        <v>222.2</v>
      </c>
      <c r="K284">
        <v>155.9</v>
      </c>
      <c r="L284">
        <v>114.9</v>
      </c>
      <c r="M284">
        <v>162</v>
      </c>
      <c r="N284">
        <v>150</v>
      </c>
      <c r="O284">
        <v>162.69999999999999</v>
      </c>
      <c r="P284">
        <v>163.4</v>
      </c>
      <c r="Q284">
        <v>183.4</v>
      </c>
      <c r="R284">
        <v>156.30000000000001</v>
      </c>
      <c r="S284">
        <v>151</v>
      </c>
      <c r="T284">
        <v>155.5</v>
      </c>
      <c r="U284" t="s">
        <v>32</v>
      </c>
      <c r="V284">
        <v>147.5</v>
      </c>
      <c r="W284">
        <v>152.80000000000001</v>
      </c>
      <c r="X284">
        <v>160.4</v>
      </c>
      <c r="Y284">
        <v>146.1</v>
      </c>
      <c r="Z284">
        <v>153.6</v>
      </c>
      <c r="AA284">
        <v>161.6</v>
      </c>
      <c r="AB284">
        <v>156.19999999999999</v>
      </c>
      <c r="AC284">
        <v>154.5</v>
      </c>
      <c r="AD284">
        <v>159.80000000000001</v>
      </c>
    </row>
    <row r="285" spans="1:30" x14ac:dyDescent="0.3">
      <c r="A285" t="s">
        <v>33</v>
      </c>
      <c r="B285">
        <v>2020</v>
      </c>
      <c r="C285" t="s">
        <v>44</v>
      </c>
      <c r="D285">
        <v>149.69999999999999</v>
      </c>
      <c r="E285">
        <v>195.5</v>
      </c>
      <c r="F285">
        <v>176.9</v>
      </c>
      <c r="G285">
        <v>153.9</v>
      </c>
      <c r="H285">
        <v>138</v>
      </c>
      <c r="I285">
        <v>150.5</v>
      </c>
      <c r="J285">
        <v>245.3</v>
      </c>
      <c r="K285">
        <v>158.69999999999999</v>
      </c>
      <c r="L285">
        <v>117.2</v>
      </c>
      <c r="M285">
        <v>161.4</v>
      </c>
      <c r="N285">
        <v>141.5</v>
      </c>
      <c r="O285">
        <v>165.1</v>
      </c>
      <c r="P285">
        <v>167</v>
      </c>
      <c r="Q285">
        <v>188.8</v>
      </c>
      <c r="R285">
        <v>151.1</v>
      </c>
      <c r="S285">
        <v>136.4</v>
      </c>
      <c r="T285">
        <v>148.80000000000001</v>
      </c>
      <c r="U285">
        <v>158</v>
      </c>
      <c r="V285">
        <v>137.30000000000001</v>
      </c>
      <c r="W285">
        <v>145.1</v>
      </c>
      <c r="X285">
        <v>152</v>
      </c>
      <c r="Y285">
        <v>135.19999999999999</v>
      </c>
      <c r="Z285">
        <v>144.4</v>
      </c>
      <c r="AA285">
        <v>156.4</v>
      </c>
      <c r="AB285">
        <v>157.9</v>
      </c>
      <c r="AC285">
        <v>146.6</v>
      </c>
      <c r="AD285">
        <v>156.69999999999999</v>
      </c>
    </row>
    <row r="286" spans="1:30" x14ac:dyDescent="0.3">
      <c r="A286" t="s">
        <v>34</v>
      </c>
      <c r="B286">
        <v>2020</v>
      </c>
      <c r="C286" t="s">
        <v>44</v>
      </c>
      <c r="D286">
        <v>146.80000000000001</v>
      </c>
      <c r="E286">
        <v>191</v>
      </c>
      <c r="F286">
        <v>173.6</v>
      </c>
      <c r="G286">
        <v>153.80000000000001</v>
      </c>
      <c r="H286">
        <v>142.69999999999999</v>
      </c>
      <c r="I286">
        <v>148.4</v>
      </c>
      <c r="J286">
        <v>230</v>
      </c>
      <c r="K286">
        <v>156.80000000000001</v>
      </c>
      <c r="L286">
        <v>115.7</v>
      </c>
      <c r="M286">
        <v>161.80000000000001</v>
      </c>
      <c r="N286">
        <v>146.5</v>
      </c>
      <c r="O286">
        <v>163.80000000000001</v>
      </c>
      <c r="P286">
        <v>164.7</v>
      </c>
      <c r="Q286">
        <v>184.8</v>
      </c>
      <c r="R286">
        <v>154.30000000000001</v>
      </c>
      <c r="S286">
        <v>144.9</v>
      </c>
      <c r="T286">
        <v>152.80000000000001</v>
      </c>
      <c r="U286">
        <v>158</v>
      </c>
      <c r="V286">
        <v>143.6</v>
      </c>
      <c r="W286">
        <v>149.19999999999999</v>
      </c>
      <c r="X286">
        <v>157.19999999999999</v>
      </c>
      <c r="Y286">
        <v>140.4</v>
      </c>
      <c r="Z286">
        <v>148.4</v>
      </c>
      <c r="AA286">
        <v>158.6</v>
      </c>
      <c r="AB286">
        <v>156.9</v>
      </c>
      <c r="AC286">
        <v>150.69999999999999</v>
      </c>
      <c r="AD286">
        <v>158.4</v>
      </c>
    </row>
    <row r="287" spans="1:30" x14ac:dyDescent="0.3">
      <c r="A287" t="s">
        <v>30</v>
      </c>
      <c r="B287">
        <v>2020</v>
      </c>
      <c r="C287" t="s">
        <v>45</v>
      </c>
      <c r="D287">
        <v>144.6</v>
      </c>
      <c r="E287">
        <v>188.5</v>
      </c>
      <c r="F287">
        <v>173.4</v>
      </c>
      <c r="G287">
        <v>154</v>
      </c>
      <c r="H287">
        <v>150</v>
      </c>
      <c r="I287">
        <v>145.9</v>
      </c>
      <c r="J287">
        <v>225.2</v>
      </c>
      <c r="K287">
        <v>159.5</v>
      </c>
      <c r="L287">
        <v>114.4</v>
      </c>
      <c r="M287">
        <v>163.5</v>
      </c>
      <c r="N287">
        <v>153.4</v>
      </c>
      <c r="O287">
        <v>163.6</v>
      </c>
      <c r="P287">
        <v>164.5</v>
      </c>
      <c r="Q287">
        <v>183.6</v>
      </c>
      <c r="R287">
        <v>157</v>
      </c>
      <c r="S287">
        <v>151.6</v>
      </c>
      <c r="T287">
        <v>156.30000000000001</v>
      </c>
      <c r="U287" t="s">
        <v>32</v>
      </c>
      <c r="V287">
        <v>148.69999999999999</v>
      </c>
      <c r="W287">
        <v>153.4</v>
      </c>
      <c r="X287">
        <v>161.6</v>
      </c>
      <c r="Y287">
        <v>146.4</v>
      </c>
      <c r="Z287">
        <v>153.9</v>
      </c>
      <c r="AA287">
        <v>162.9</v>
      </c>
      <c r="AB287">
        <v>156.6</v>
      </c>
      <c r="AC287">
        <v>155.19999999999999</v>
      </c>
      <c r="AD287">
        <v>160.69999999999999</v>
      </c>
    </row>
    <row r="288" spans="1:30" x14ac:dyDescent="0.3">
      <c r="A288" t="s">
        <v>33</v>
      </c>
      <c r="B288">
        <v>2020</v>
      </c>
      <c r="C288" t="s">
        <v>45</v>
      </c>
      <c r="D288">
        <v>149</v>
      </c>
      <c r="E288">
        <v>195.7</v>
      </c>
      <c r="F288">
        <v>178.3</v>
      </c>
      <c r="G288">
        <v>154.19999999999999</v>
      </c>
      <c r="H288">
        <v>140.69999999999999</v>
      </c>
      <c r="I288">
        <v>149.69999999999999</v>
      </c>
      <c r="J288">
        <v>240.9</v>
      </c>
      <c r="K288">
        <v>161.5</v>
      </c>
      <c r="L288">
        <v>117.1</v>
      </c>
      <c r="M288">
        <v>161.9</v>
      </c>
      <c r="N288">
        <v>143.30000000000001</v>
      </c>
      <c r="O288">
        <v>166.1</v>
      </c>
      <c r="P288">
        <v>167</v>
      </c>
      <c r="Q288">
        <v>190.2</v>
      </c>
      <c r="R288">
        <v>151.9</v>
      </c>
      <c r="S288">
        <v>136.69999999999999</v>
      </c>
      <c r="T288">
        <v>149.6</v>
      </c>
      <c r="U288">
        <v>158.4</v>
      </c>
      <c r="V288">
        <v>137.9</v>
      </c>
      <c r="W288">
        <v>145.5</v>
      </c>
      <c r="X288">
        <v>152.9</v>
      </c>
      <c r="Y288">
        <v>135.5</v>
      </c>
      <c r="Z288">
        <v>144.30000000000001</v>
      </c>
      <c r="AA288">
        <v>156.9</v>
      </c>
      <c r="AB288">
        <v>157.9</v>
      </c>
      <c r="AC288">
        <v>146.9</v>
      </c>
      <c r="AD288">
        <v>156.9</v>
      </c>
    </row>
    <row r="289" spans="1:30" x14ac:dyDescent="0.3">
      <c r="A289" t="s">
        <v>34</v>
      </c>
      <c r="B289">
        <v>2020</v>
      </c>
      <c r="C289" t="s">
        <v>45</v>
      </c>
      <c r="D289">
        <v>146</v>
      </c>
      <c r="E289">
        <v>191</v>
      </c>
      <c r="F289">
        <v>175.3</v>
      </c>
      <c r="G289">
        <v>154.1</v>
      </c>
      <c r="H289">
        <v>146.6</v>
      </c>
      <c r="I289">
        <v>147.69999999999999</v>
      </c>
      <c r="J289">
        <v>230.5</v>
      </c>
      <c r="K289">
        <v>160.19999999999999</v>
      </c>
      <c r="L289">
        <v>115.3</v>
      </c>
      <c r="M289">
        <v>163</v>
      </c>
      <c r="N289">
        <v>149.19999999999999</v>
      </c>
      <c r="O289">
        <v>164.8</v>
      </c>
      <c r="P289">
        <v>165.4</v>
      </c>
      <c r="Q289">
        <v>185.4</v>
      </c>
      <c r="R289">
        <v>155</v>
      </c>
      <c r="S289">
        <v>145.4</v>
      </c>
      <c r="T289">
        <v>153.6</v>
      </c>
      <c r="U289">
        <v>158.4</v>
      </c>
      <c r="V289">
        <v>144.6</v>
      </c>
      <c r="W289">
        <v>149.69999999999999</v>
      </c>
      <c r="X289">
        <v>158.30000000000001</v>
      </c>
      <c r="Y289">
        <v>140.69999999999999</v>
      </c>
      <c r="Z289">
        <v>148.5</v>
      </c>
      <c r="AA289">
        <v>159.4</v>
      </c>
      <c r="AB289">
        <v>157.1</v>
      </c>
      <c r="AC289">
        <v>151.19999999999999</v>
      </c>
      <c r="AD289">
        <v>158.9</v>
      </c>
    </row>
    <row r="290" spans="1:30" x14ac:dyDescent="0.3">
      <c r="A290" t="s">
        <v>30</v>
      </c>
      <c r="B290">
        <v>2021</v>
      </c>
      <c r="C290" t="s">
        <v>31</v>
      </c>
      <c r="D290">
        <v>143.4</v>
      </c>
      <c r="E290">
        <v>187.5</v>
      </c>
      <c r="F290">
        <v>173.4</v>
      </c>
      <c r="G290">
        <v>154</v>
      </c>
      <c r="H290">
        <v>154.80000000000001</v>
      </c>
      <c r="I290">
        <v>147</v>
      </c>
      <c r="J290">
        <v>187.8</v>
      </c>
      <c r="K290">
        <v>159.5</v>
      </c>
      <c r="L290">
        <v>113.8</v>
      </c>
      <c r="M290">
        <v>164.5</v>
      </c>
      <c r="N290">
        <v>156.1</v>
      </c>
      <c r="O290">
        <v>164.3</v>
      </c>
      <c r="P290">
        <v>159.6</v>
      </c>
      <c r="Q290">
        <v>184.6</v>
      </c>
      <c r="R290">
        <v>157.5</v>
      </c>
      <c r="S290">
        <v>152.4</v>
      </c>
      <c r="T290">
        <v>156.80000000000001</v>
      </c>
      <c r="U290" t="s">
        <v>32</v>
      </c>
      <c r="V290">
        <v>150.9</v>
      </c>
      <c r="W290">
        <v>153.9</v>
      </c>
      <c r="X290">
        <v>162.5</v>
      </c>
      <c r="Y290">
        <v>147.5</v>
      </c>
      <c r="Z290">
        <v>155.1</v>
      </c>
      <c r="AA290">
        <v>163.5</v>
      </c>
      <c r="AB290">
        <v>156.19999999999999</v>
      </c>
      <c r="AC290">
        <v>155.9</v>
      </c>
      <c r="AD290">
        <v>158.5</v>
      </c>
    </row>
    <row r="291" spans="1:30" x14ac:dyDescent="0.3">
      <c r="A291" t="s">
        <v>33</v>
      </c>
      <c r="B291">
        <v>2021</v>
      </c>
      <c r="C291" t="s">
        <v>31</v>
      </c>
      <c r="D291">
        <v>148</v>
      </c>
      <c r="E291">
        <v>194.8</v>
      </c>
      <c r="F291">
        <v>178.4</v>
      </c>
      <c r="G291">
        <v>154.4</v>
      </c>
      <c r="H291">
        <v>144.1</v>
      </c>
      <c r="I291">
        <v>152.6</v>
      </c>
      <c r="J291">
        <v>206.8</v>
      </c>
      <c r="K291">
        <v>162.1</v>
      </c>
      <c r="L291">
        <v>116.3</v>
      </c>
      <c r="M291">
        <v>163</v>
      </c>
      <c r="N291">
        <v>145.9</v>
      </c>
      <c r="O291">
        <v>167.2</v>
      </c>
      <c r="P291">
        <v>163.4</v>
      </c>
      <c r="Q291">
        <v>191.8</v>
      </c>
      <c r="R291">
        <v>152.5</v>
      </c>
      <c r="S291">
        <v>137.30000000000001</v>
      </c>
      <c r="T291">
        <v>150.19999999999999</v>
      </c>
      <c r="U291">
        <v>157.69999999999999</v>
      </c>
      <c r="V291">
        <v>142.9</v>
      </c>
      <c r="W291">
        <v>145.69999999999999</v>
      </c>
      <c r="X291">
        <v>154.1</v>
      </c>
      <c r="Y291">
        <v>136.9</v>
      </c>
      <c r="Z291">
        <v>145.4</v>
      </c>
      <c r="AA291">
        <v>156.1</v>
      </c>
      <c r="AB291">
        <v>157.69999999999999</v>
      </c>
      <c r="AC291">
        <v>147.6</v>
      </c>
      <c r="AD291">
        <v>156</v>
      </c>
    </row>
    <row r="292" spans="1:30" x14ac:dyDescent="0.3">
      <c r="A292" t="s">
        <v>34</v>
      </c>
      <c r="B292">
        <v>2021</v>
      </c>
      <c r="C292" t="s">
        <v>31</v>
      </c>
      <c r="D292">
        <v>144.9</v>
      </c>
      <c r="E292">
        <v>190.1</v>
      </c>
      <c r="F292">
        <v>175.3</v>
      </c>
      <c r="G292">
        <v>154.1</v>
      </c>
      <c r="H292">
        <v>150.9</v>
      </c>
      <c r="I292">
        <v>149.6</v>
      </c>
      <c r="J292">
        <v>194.2</v>
      </c>
      <c r="K292">
        <v>160.4</v>
      </c>
      <c r="L292">
        <v>114.6</v>
      </c>
      <c r="M292">
        <v>164</v>
      </c>
      <c r="N292">
        <v>151.80000000000001</v>
      </c>
      <c r="O292">
        <v>165.6</v>
      </c>
      <c r="P292">
        <v>161</v>
      </c>
      <c r="Q292">
        <v>186.5</v>
      </c>
      <c r="R292">
        <v>155.5</v>
      </c>
      <c r="S292">
        <v>146.1</v>
      </c>
      <c r="T292">
        <v>154.19999999999999</v>
      </c>
      <c r="U292">
        <v>157.69999999999999</v>
      </c>
      <c r="V292">
        <v>147.9</v>
      </c>
      <c r="W292">
        <v>150</v>
      </c>
      <c r="X292">
        <v>159.30000000000001</v>
      </c>
      <c r="Y292">
        <v>141.9</v>
      </c>
      <c r="Z292">
        <v>149.6</v>
      </c>
      <c r="AA292">
        <v>159.19999999999999</v>
      </c>
      <c r="AB292">
        <v>156.80000000000001</v>
      </c>
      <c r="AC292">
        <v>151.9</v>
      </c>
      <c r="AD292">
        <v>157.30000000000001</v>
      </c>
    </row>
    <row r="293" spans="1:30" x14ac:dyDescent="0.3">
      <c r="A293" t="s">
        <v>30</v>
      </c>
      <c r="B293">
        <v>2021</v>
      </c>
      <c r="C293" t="s">
        <v>35</v>
      </c>
      <c r="D293">
        <v>142.80000000000001</v>
      </c>
      <c r="E293">
        <v>184</v>
      </c>
      <c r="F293">
        <v>168</v>
      </c>
      <c r="G293">
        <v>154.4</v>
      </c>
      <c r="H293">
        <v>163</v>
      </c>
      <c r="I293">
        <v>147.80000000000001</v>
      </c>
      <c r="J293">
        <v>149.69999999999999</v>
      </c>
      <c r="K293">
        <v>158.30000000000001</v>
      </c>
      <c r="L293">
        <v>111.8</v>
      </c>
      <c r="M293">
        <v>165</v>
      </c>
      <c r="N293">
        <v>160</v>
      </c>
      <c r="O293">
        <v>165.8</v>
      </c>
      <c r="P293">
        <v>154.69999999999999</v>
      </c>
      <c r="Q293">
        <v>186.5</v>
      </c>
      <c r="R293">
        <v>159.1</v>
      </c>
      <c r="S293">
        <v>153.9</v>
      </c>
      <c r="T293">
        <v>158.4</v>
      </c>
      <c r="U293" t="s">
        <v>32</v>
      </c>
      <c r="V293">
        <v>154.4</v>
      </c>
      <c r="W293">
        <v>154.80000000000001</v>
      </c>
      <c r="X293">
        <v>164.3</v>
      </c>
      <c r="Y293">
        <v>150.19999999999999</v>
      </c>
      <c r="Z293">
        <v>157</v>
      </c>
      <c r="AA293">
        <v>163.6</v>
      </c>
      <c r="AB293">
        <v>155.19999999999999</v>
      </c>
      <c r="AC293">
        <v>157.19999999999999</v>
      </c>
      <c r="AD293">
        <v>156.69999999999999</v>
      </c>
    </row>
    <row r="294" spans="1:30" x14ac:dyDescent="0.3">
      <c r="A294" t="s">
        <v>33</v>
      </c>
      <c r="B294">
        <v>2021</v>
      </c>
      <c r="C294" t="s">
        <v>35</v>
      </c>
      <c r="D294">
        <v>147.6</v>
      </c>
      <c r="E294">
        <v>191.2</v>
      </c>
      <c r="F294">
        <v>169.9</v>
      </c>
      <c r="G294">
        <v>155.1</v>
      </c>
      <c r="H294">
        <v>151.4</v>
      </c>
      <c r="I294">
        <v>154</v>
      </c>
      <c r="J294">
        <v>180.2</v>
      </c>
      <c r="K294">
        <v>159.80000000000001</v>
      </c>
      <c r="L294">
        <v>114.9</v>
      </c>
      <c r="M294">
        <v>162.5</v>
      </c>
      <c r="N294">
        <v>149.19999999999999</v>
      </c>
      <c r="O294">
        <v>169.4</v>
      </c>
      <c r="P294">
        <v>160.80000000000001</v>
      </c>
      <c r="Q294">
        <v>193.3</v>
      </c>
      <c r="R294">
        <v>154.19999999999999</v>
      </c>
      <c r="S294">
        <v>138.19999999999999</v>
      </c>
      <c r="T294">
        <v>151.80000000000001</v>
      </c>
      <c r="U294">
        <v>159.80000000000001</v>
      </c>
      <c r="V294">
        <v>149.1</v>
      </c>
      <c r="W294">
        <v>146.5</v>
      </c>
      <c r="X294">
        <v>156.30000000000001</v>
      </c>
      <c r="Y294">
        <v>140.5</v>
      </c>
      <c r="Z294">
        <v>147.30000000000001</v>
      </c>
      <c r="AA294">
        <v>156.6</v>
      </c>
      <c r="AB294">
        <v>156.69999999999999</v>
      </c>
      <c r="AC294">
        <v>149.30000000000001</v>
      </c>
      <c r="AD294">
        <v>156.5</v>
      </c>
    </row>
    <row r="295" spans="1:30" x14ac:dyDescent="0.3">
      <c r="A295" t="s">
        <v>34</v>
      </c>
      <c r="B295">
        <v>2021</v>
      </c>
      <c r="C295" t="s">
        <v>35</v>
      </c>
      <c r="D295">
        <v>144.30000000000001</v>
      </c>
      <c r="E295">
        <v>186.5</v>
      </c>
      <c r="F295">
        <v>168.7</v>
      </c>
      <c r="G295">
        <v>154.69999999999999</v>
      </c>
      <c r="H295">
        <v>158.69999999999999</v>
      </c>
      <c r="I295">
        <v>150.69999999999999</v>
      </c>
      <c r="J295">
        <v>160</v>
      </c>
      <c r="K295">
        <v>158.80000000000001</v>
      </c>
      <c r="L295">
        <v>112.8</v>
      </c>
      <c r="M295">
        <v>164.2</v>
      </c>
      <c r="N295">
        <v>155.5</v>
      </c>
      <c r="O295">
        <v>167.5</v>
      </c>
      <c r="P295">
        <v>156.9</v>
      </c>
      <c r="Q295">
        <v>188.3</v>
      </c>
      <c r="R295">
        <v>157.19999999999999</v>
      </c>
      <c r="S295">
        <v>147.4</v>
      </c>
      <c r="T295">
        <v>155.80000000000001</v>
      </c>
      <c r="U295">
        <v>159.80000000000001</v>
      </c>
      <c r="V295">
        <v>152.4</v>
      </c>
      <c r="W295">
        <v>150.9</v>
      </c>
      <c r="X295">
        <v>161.30000000000001</v>
      </c>
      <c r="Y295">
        <v>145.1</v>
      </c>
      <c r="Z295">
        <v>151.5</v>
      </c>
      <c r="AA295">
        <v>159.5</v>
      </c>
      <c r="AB295">
        <v>155.80000000000001</v>
      </c>
      <c r="AC295">
        <v>153.4</v>
      </c>
      <c r="AD295">
        <v>156.6</v>
      </c>
    </row>
    <row r="296" spans="1:30" x14ac:dyDescent="0.3">
      <c r="A296" t="s">
        <v>30</v>
      </c>
      <c r="B296">
        <v>2021</v>
      </c>
      <c r="C296" t="s">
        <v>36</v>
      </c>
      <c r="D296">
        <v>142.5</v>
      </c>
      <c r="E296">
        <v>189.4</v>
      </c>
      <c r="F296">
        <v>163.19999999999999</v>
      </c>
      <c r="G296">
        <v>154.5</v>
      </c>
      <c r="H296">
        <v>168.2</v>
      </c>
      <c r="I296">
        <v>150.5</v>
      </c>
      <c r="J296">
        <v>141</v>
      </c>
      <c r="K296">
        <v>159.19999999999999</v>
      </c>
      <c r="L296">
        <v>111.7</v>
      </c>
      <c r="M296">
        <v>164</v>
      </c>
      <c r="N296">
        <v>160.6</v>
      </c>
      <c r="O296">
        <v>166.4</v>
      </c>
      <c r="P296">
        <v>154.5</v>
      </c>
      <c r="Q296">
        <v>186.1</v>
      </c>
      <c r="R296">
        <v>159.6</v>
      </c>
      <c r="S296">
        <v>154.4</v>
      </c>
      <c r="T296">
        <v>158.9</v>
      </c>
      <c r="U296" t="s">
        <v>47</v>
      </c>
      <c r="V296">
        <v>156</v>
      </c>
      <c r="W296">
        <v>154.80000000000001</v>
      </c>
      <c r="X296">
        <v>164.6</v>
      </c>
      <c r="Y296">
        <v>151.30000000000001</v>
      </c>
      <c r="Z296">
        <v>157.80000000000001</v>
      </c>
      <c r="AA296">
        <v>163.80000000000001</v>
      </c>
      <c r="AB296">
        <v>153.1</v>
      </c>
      <c r="AC296">
        <v>157.30000000000001</v>
      </c>
      <c r="AD296">
        <v>156.69999999999999</v>
      </c>
    </row>
    <row r="297" spans="1:30" x14ac:dyDescent="0.3">
      <c r="A297" t="s">
        <v>33</v>
      </c>
      <c r="B297">
        <v>2021</v>
      </c>
      <c r="C297" t="s">
        <v>36</v>
      </c>
      <c r="D297">
        <v>147.5</v>
      </c>
      <c r="E297">
        <v>197.5</v>
      </c>
      <c r="F297">
        <v>164.7</v>
      </c>
      <c r="G297">
        <v>155.6</v>
      </c>
      <c r="H297">
        <v>156.4</v>
      </c>
      <c r="I297">
        <v>157.30000000000001</v>
      </c>
      <c r="J297">
        <v>166.1</v>
      </c>
      <c r="K297">
        <v>161.1</v>
      </c>
      <c r="L297">
        <v>114.3</v>
      </c>
      <c r="M297">
        <v>162.6</v>
      </c>
      <c r="N297">
        <v>150.69999999999999</v>
      </c>
      <c r="O297">
        <v>170.3</v>
      </c>
      <c r="P297">
        <v>160.4</v>
      </c>
      <c r="Q297">
        <v>193.5</v>
      </c>
      <c r="R297">
        <v>155.1</v>
      </c>
      <c r="S297">
        <v>138.69999999999999</v>
      </c>
      <c r="T297">
        <v>152.6</v>
      </c>
      <c r="U297">
        <v>159.9</v>
      </c>
      <c r="V297">
        <v>154.80000000000001</v>
      </c>
      <c r="W297">
        <v>147.19999999999999</v>
      </c>
      <c r="X297">
        <v>156.9</v>
      </c>
      <c r="Y297">
        <v>141.69999999999999</v>
      </c>
      <c r="Z297">
        <v>148.6</v>
      </c>
      <c r="AA297">
        <v>157.6</v>
      </c>
      <c r="AB297">
        <v>154.9</v>
      </c>
      <c r="AC297">
        <v>150</v>
      </c>
      <c r="AD297">
        <v>156.9</v>
      </c>
    </row>
    <row r="298" spans="1:30" x14ac:dyDescent="0.3">
      <c r="A298" t="s">
        <v>34</v>
      </c>
      <c r="B298">
        <v>2021</v>
      </c>
      <c r="C298" t="s">
        <v>36</v>
      </c>
      <c r="D298">
        <v>144.1</v>
      </c>
      <c r="E298">
        <v>192.2</v>
      </c>
      <c r="F298">
        <v>163.80000000000001</v>
      </c>
      <c r="G298">
        <v>154.9</v>
      </c>
      <c r="H298">
        <v>163.9</v>
      </c>
      <c r="I298">
        <v>153.69999999999999</v>
      </c>
      <c r="J298">
        <v>149.5</v>
      </c>
      <c r="K298">
        <v>159.80000000000001</v>
      </c>
      <c r="L298">
        <v>112.6</v>
      </c>
      <c r="M298">
        <v>163.5</v>
      </c>
      <c r="N298">
        <v>156.5</v>
      </c>
      <c r="O298">
        <v>168.2</v>
      </c>
      <c r="P298">
        <v>156.69999999999999</v>
      </c>
      <c r="Q298">
        <v>188.1</v>
      </c>
      <c r="R298">
        <v>157.80000000000001</v>
      </c>
      <c r="S298">
        <v>147.9</v>
      </c>
      <c r="T298">
        <v>156.4</v>
      </c>
      <c r="U298">
        <v>159.9</v>
      </c>
      <c r="V298">
        <v>155.5</v>
      </c>
      <c r="W298">
        <v>151.19999999999999</v>
      </c>
      <c r="X298">
        <v>161.69999999999999</v>
      </c>
      <c r="Y298">
        <v>146.19999999999999</v>
      </c>
      <c r="Z298">
        <v>152.6</v>
      </c>
      <c r="AA298">
        <v>160.19999999999999</v>
      </c>
      <c r="AB298">
        <v>153.80000000000001</v>
      </c>
      <c r="AC298">
        <v>153.80000000000001</v>
      </c>
      <c r="AD298">
        <v>156.80000000000001</v>
      </c>
    </row>
    <row r="299" spans="1:30" x14ac:dyDescent="0.3">
      <c r="A299" t="s">
        <v>30</v>
      </c>
      <c r="B299">
        <v>2021</v>
      </c>
      <c r="C299" t="s">
        <v>37</v>
      </c>
      <c r="D299">
        <v>142.69999999999999</v>
      </c>
      <c r="E299">
        <v>195.5</v>
      </c>
      <c r="F299">
        <v>163.4</v>
      </c>
      <c r="G299">
        <v>155</v>
      </c>
      <c r="H299">
        <v>175.2</v>
      </c>
      <c r="I299">
        <v>160.6</v>
      </c>
      <c r="J299">
        <v>135.1</v>
      </c>
      <c r="K299">
        <v>161.1</v>
      </c>
      <c r="L299">
        <v>112.2</v>
      </c>
      <c r="M299">
        <v>164.4</v>
      </c>
      <c r="N299">
        <v>161.9</v>
      </c>
      <c r="O299">
        <v>166.8</v>
      </c>
      <c r="P299">
        <v>155.6</v>
      </c>
      <c r="Q299">
        <v>186.8</v>
      </c>
      <c r="R299">
        <v>160.69999999999999</v>
      </c>
      <c r="S299">
        <v>155.1</v>
      </c>
      <c r="T299">
        <v>159.9</v>
      </c>
      <c r="U299" t="s">
        <v>47</v>
      </c>
      <c r="V299">
        <v>156</v>
      </c>
      <c r="W299">
        <v>155.5</v>
      </c>
      <c r="X299">
        <v>165.3</v>
      </c>
      <c r="Y299">
        <v>151.69999999999999</v>
      </c>
      <c r="Z299">
        <v>158.6</v>
      </c>
      <c r="AA299">
        <v>164.1</v>
      </c>
      <c r="AB299">
        <v>154.6</v>
      </c>
      <c r="AC299">
        <v>158</v>
      </c>
      <c r="AD299">
        <v>157.6</v>
      </c>
    </row>
    <row r="300" spans="1:30" x14ac:dyDescent="0.3">
      <c r="A300" t="s">
        <v>33</v>
      </c>
      <c r="B300">
        <v>2021</v>
      </c>
      <c r="C300" t="s">
        <v>37</v>
      </c>
      <c r="D300">
        <v>147.6</v>
      </c>
      <c r="E300">
        <v>202.5</v>
      </c>
      <c r="F300">
        <v>166.4</v>
      </c>
      <c r="G300">
        <v>156</v>
      </c>
      <c r="H300">
        <v>161.4</v>
      </c>
      <c r="I300">
        <v>168.8</v>
      </c>
      <c r="J300">
        <v>161.6</v>
      </c>
      <c r="K300">
        <v>162.80000000000001</v>
      </c>
      <c r="L300">
        <v>114.8</v>
      </c>
      <c r="M300">
        <v>162.80000000000001</v>
      </c>
      <c r="N300">
        <v>151.5</v>
      </c>
      <c r="O300">
        <v>171.4</v>
      </c>
      <c r="P300">
        <v>162</v>
      </c>
      <c r="Q300">
        <v>194.4</v>
      </c>
      <c r="R300">
        <v>155.9</v>
      </c>
      <c r="S300">
        <v>139.30000000000001</v>
      </c>
      <c r="T300">
        <v>153.4</v>
      </c>
      <c r="U300">
        <v>161.4</v>
      </c>
      <c r="V300">
        <v>154.9</v>
      </c>
      <c r="W300">
        <v>147.6</v>
      </c>
      <c r="X300">
        <v>157.5</v>
      </c>
      <c r="Y300">
        <v>142.1</v>
      </c>
      <c r="Z300">
        <v>149.1</v>
      </c>
      <c r="AA300">
        <v>157.6</v>
      </c>
      <c r="AB300">
        <v>156.6</v>
      </c>
      <c r="AC300">
        <v>150.5</v>
      </c>
      <c r="AD300">
        <v>158</v>
      </c>
    </row>
    <row r="301" spans="1:30" x14ac:dyDescent="0.3">
      <c r="A301" t="s">
        <v>34</v>
      </c>
      <c r="B301">
        <v>2021</v>
      </c>
      <c r="C301" t="s">
        <v>37</v>
      </c>
      <c r="D301">
        <v>144.30000000000001</v>
      </c>
      <c r="E301">
        <v>198</v>
      </c>
      <c r="F301">
        <v>164.6</v>
      </c>
      <c r="G301">
        <v>155.4</v>
      </c>
      <c r="H301">
        <v>170.1</v>
      </c>
      <c r="I301">
        <v>164.4</v>
      </c>
      <c r="J301">
        <v>144.1</v>
      </c>
      <c r="K301">
        <v>161.69999999999999</v>
      </c>
      <c r="L301">
        <v>113.1</v>
      </c>
      <c r="M301">
        <v>163.9</v>
      </c>
      <c r="N301">
        <v>157.6</v>
      </c>
      <c r="O301">
        <v>168.9</v>
      </c>
      <c r="P301">
        <v>158</v>
      </c>
      <c r="Q301">
        <v>188.8</v>
      </c>
      <c r="R301">
        <v>158.80000000000001</v>
      </c>
      <c r="S301">
        <v>148.5</v>
      </c>
      <c r="T301">
        <v>157.30000000000001</v>
      </c>
      <c r="U301">
        <v>161.4</v>
      </c>
      <c r="V301">
        <v>155.6</v>
      </c>
      <c r="W301">
        <v>151.80000000000001</v>
      </c>
      <c r="X301">
        <v>162.30000000000001</v>
      </c>
      <c r="Y301">
        <v>146.6</v>
      </c>
      <c r="Z301">
        <v>153.19999999999999</v>
      </c>
      <c r="AA301">
        <v>160.30000000000001</v>
      </c>
      <c r="AB301">
        <v>155.4</v>
      </c>
      <c r="AC301">
        <v>154.4</v>
      </c>
      <c r="AD301">
        <v>157.80000000000001</v>
      </c>
    </row>
    <row r="302" spans="1:30" x14ac:dyDescent="0.3">
      <c r="A302" t="s">
        <v>30</v>
      </c>
      <c r="B302">
        <v>2021</v>
      </c>
      <c r="C302" t="s">
        <v>38</v>
      </c>
      <c r="D302">
        <v>145.1</v>
      </c>
      <c r="E302">
        <v>198.5</v>
      </c>
      <c r="F302">
        <v>168.6</v>
      </c>
      <c r="G302">
        <v>155.80000000000001</v>
      </c>
      <c r="H302">
        <v>184.4</v>
      </c>
      <c r="I302">
        <v>162.30000000000001</v>
      </c>
      <c r="J302">
        <v>138.4</v>
      </c>
      <c r="K302">
        <v>165.1</v>
      </c>
      <c r="L302">
        <v>114.3</v>
      </c>
      <c r="M302">
        <v>169.7</v>
      </c>
      <c r="N302">
        <v>164.6</v>
      </c>
      <c r="O302">
        <v>169.8</v>
      </c>
      <c r="P302">
        <v>158.69999999999999</v>
      </c>
      <c r="Q302">
        <v>189.6</v>
      </c>
      <c r="R302">
        <v>165.3</v>
      </c>
      <c r="S302">
        <v>160.6</v>
      </c>
      <c r="T302">
        <v>164.5</v>
      </c>
      <c r="U302" t="s">
        <v>32</v>
      </c>
      <c r="V302">
        <v>161.69999999999999</v>
      </c>
      <c r="W302">
        <v>158.80000000000001</v>
      </c>
      <c r="X302">
        <v>169.1</v>
      </c>
      <c r="Y302">
        <v>153.19999999999999</v>
      </c>
      <c r="Z302">
        <v>160</v>
      </c>
      <c r="AA302">
        <v>167.6</v>
      </c>
      <c r="AB302">
        <v>159.30000000000001</v>
      </c>
      <c r="AC302">
        <v>161.1</v>
      </c>
      <c r="AD302">
        <v>161.1</v>
      </c>
    </row>
    <row r="303" spans="1:30" x14ac:dyDescent="0.3">
      <c r="A303" t="s">
        <v>33</v>
      </c>
      <c r="B303">
        <v>2021</v>
      </c>
      <c r="C303" t="s">
        <v>38</v>
      </c>
      <c r="D303">
        <v>148.80000000000001</v>
      </c>
      <c r="E303">
        <v>204.3</v>
      </c>
      <c r="F303">
        <v>173</v>
      </c>
      <c r="G303">
        <v>156.5</v>
      </c>
      <c r="H303">
        <v>168.8</v>
      </c>
      <c r="I303">
        <v>172.5</v>
      </c>
      <c r="J303">
        <v>166.5</v>
      </c>
      <c r="K303">
        <v>165.9</v>
      </c>
      <c r="L303">
        <v>115.9</v>
      </c>
      <c r="M303">
        <v>165.2</v>
      </c>
      <c r="N303">
        <v>152</v>
      </c>
      <c r="O303">
        <v>171.1</v>
      </c>
      <c r="P303">
        <v>164.2</v>
      </c>
      <c r="Q303">
        <v>198.2</v>
      </c>
      <c r="R303">
        <v>156.5</v>
      </c>
      <c r="S303">
        <v>140.19999999999999</v>
      </c>
      <c r="T303">
        <v>154.1</v>
      </c>
      <c r="U303">
        <v>161.6</v>
      </c>
      <c r="V303">
        <v>155.5</v>
      </c>
      <c r="W303">
        <v>150.1</v>
      </c>
      <c r="X303">
        <v>160.4</v>
      </c>
      <c r="Y303">
        <v>145</v>
      </c>
      <c r="Z303">
        <v>152.6</v>
      </c>
      <c r="AA303">
        <v>156.6</v>
      </c>
      <c r="AB303">
        <v>157.5</v>
      </c>
      <c r="AC303">
        <v>152.30000000000001</v>
      </c>
      <c r="AD303">
        <v>159.5</v>
      </c>
    </row>
    <row r="304" spans="1:30" x14ac:dyDescent="0.3">
      <c r="A304" t="s">
        <v>34</v>
      </c>
      <c r="B304">
        <v>2021</v>
      </c>
      <c r="C304" t="s">
        <v>38</v>
      </c>
      <c r="D304">
        <v>146.30000000000001</v>
      </c>
      <c r="E304">
        <v>200.5</v>
      </c>
      <c r="F304">
        <v>170.3</v>
      </c>
      <c r="G304">
        <v>156.1</v>
      </c>
      <c r="H304">
        <v>178.7</v>
      </c>
      <c r="I304">
        <v>167.1</v>
      </c>
      <c r="J304">
        <v>147.9</v>
      </c>
      <c r="K304">
        <v>165.4</v>
      </c>
      <c r="L304">
        <v>114.8</v>
      </c>
      <c r="M304">
        <v>168.2</v>
      </c>
      <c r="N304">
        <v>159.30000000000001</v>
      </c>
      <c r="O304">
        <v>170.4</v>
      </c>
      <c r="P304">
        <v>160.69999999999999</v>
      </c>
      <c r="Q304">
        <v>191.9</v>
      </c>
      <c r="R304">
        <v>161.80000000000001</v>
      </c>
      <c r="S304">
        <v>152.1</v>
      </c>
      <c r="T304">
        <v>160.4</v>
      </c>
      <c r="U304">
        <v>161.6</v>
      </c>
      <c r="V304">
        <v>159.4</v>
      </c>
      <c r="W304">
        <v>154.69999999999999</v>
      </c>
      <c r="X304">
        <v>165.8</v>
      </c>
      <c r="Y304">
        <v>148.9</v>
      </c>
      <c r="Z304">
        <v>155.80000000000001</v>
      </c>
      <c r="AA304">
        <v>161.19999999999999</v>
      </c>
      <c r="AB304">
        <v>158.6</v>
      </c>
      <c r="AC304">
        <v>156.80000000000001</v>
      </c>
      <c r="AD304">
        <v>160.4</v>
      </c>
    </row>
    <row r="305" spans="1:30" x14ac:dyDescent="0.3">
      <c r="A305" t="s">
        <v>30</v>
      </c>
      <c r="B305">
        <v>2021</v>
      </c>
      <c r="C305" t="s">
        <v>39</v>
      </c>
      <c r="D305">
        <v>145.6</v>
      </c>
      <c r="E305">
        <v>200.1</v>
      </c>
      <c r="F305">
        <v>179.3</v>
      </c>
      <c r="G305">
        <v>156.1</v>
      </c>
      <c r="H305">
        <v>190.4</v>
      </c>
      <c r="I305">
        <v>158.6</v>
      </c>
      <c r="J305">
        <v>144.69999999999999</v>
      </c>
      <c r="K305">
        <v>165.5</v>
      </c>
      <c r="L305">
        <v>114.6</v>
      </c>
      <c r="M305">
        <v>170</v>
      </c>
      <c r="N305">
        <v>165.5</v>
      </c>
      <c r="O305">
        <v>171.7</v>
      </c>
      <c r="P305">
        <v>160.5</v>
      </c>
      <c r="Q305">
        <v>189.1</v>
      </c>
      <c r="R305">
        <v>165.3</v>
      </c>
      <c r="S305">
        <v>159.9</v>
      </c>
      <c r="T305">
        <v>164.6</v>
      </c>
      <c r="U305" t="s">
        <v>32</v>
      </c>
      <c r="V305">
        <v>162.1</v>
      </c>
      <c r="W305">
        <v>159.19999999999999</v>
      </c>
      <c r="X305">
        <v>169.7</v>
      </c>
      <c r="Y305">
        <v>154.19999999999999</v>
      </c>
      <c r="Z305">
        <v>160.4</v>
      </c>
      <c r="AA305">
        <v>166.8</v>
      </c>
      <c r="AB305">
        <v>159.4</v>
      </c>
      <c r="AC305">
        <v>161.5</v>
      </c>
      <c r="AD305">
        <v>162.1</v>
      </c>
    </row>
    <row r="306" spans="1:30" x14ac:dyDescent="0.3">
      <c r="A306" t="s">
        <v>33</v>
      </c>
      <c r="B306">
        <v>2021</v>
      </c>
      <c r="C306" t="s">
        <v>39</v>
      </c>
      <c r="D306">
        <v>149.19999999999999</v>
      </c>
      <c r="E306">
        <v>205.5</v>
      </c>
      <c r="F306">
        <v>182.8</v>
      </c>
      <c r="G306">
        <v>156.5</v>
      </c>
      <c r="H306">
        <v>172.2</v>
      </c>
      <c r="I306">
        <v>171.5</v>
      </c>
      <c r="J306">
        <v>176.2</v>
      </c>
      <c r="K306">
        <v>166.9</v>
      </c>
      <c r="L306">
        <v>116.1</v>
      </c>
      <c r="M306">
        <v>165.5</v>
      </c>
      <c r="N306">
        <v>152.30000000000001</v>
      </c>
      <c r="O306">
        <v>173.3</v>
      </c>
      <c r="P306">
        <v>166.2</v>
      </c>
      <c r="Q306">
        <v>195.6</v>
      </c>
      <c r="R306">
        <v>157.30000000000001</v>
      </c>
      <c r="S306">
        <v>140.5</v>
      </c>
      <c r="T306">
        <v>154.80000000000001</v>
      </c>
      <c r="U306">
        <v>160.5</v>
      </c>
      <c r="V306">
        <v>156.1</v>
      </c>
      <c r="W306">
        <v>149.80000000000001</v>
      </c>
      <c r="X306">
        <v>160.80000000000001</v>
      </c>
      <c r="Y306">
        <v>147.5</v>
      </c>
      <c r="Z306">
        <v>150.69999999999999</v>
      </c>
      <c r="AA306">
        <v>158.1</v>
      </c>
      <c r="AB306">
        <v>158</v>
      </c>
      <c r="AC306">
        <v>153.4</v>
      </c>
      <c r="AD306">
        <v>160.4</v>
      </c>
    </row>
    <row r="307" spans="1:30" x14ac:dyDescent="0.3">
      <c r="A307" t="s">
        <v>34</v>
      </c>
      <c r="B307">
        <v>2021</v>
      </c>
      <c r="C307" t="s">
        <v>39</v>
      </c>
      <c r="D307">
        <v>146.69999999999999</v>
      </c>
      <c r="E307">
        <v>202</v>
      </c>
      <c r="F307">
        <v>180.7</v>
      </c>
      <c r="G307">
        <v>156.19999999999999</v>
      </c>
      <c r="H307">
        <v>183.7</v>
      </c>
      <c r="I307">
        <v>164.6</v>
      </c>
      <c r="J307">
        <v>155.4</v>
      </c>
      <c r="K307">
        <v>166</v>
      </c>
      <c r="L307">
        <v>115.1</v>
      </c>
      <c r="M307">
        <v>168.5</v>
      </c>
      <c r="N307">
        <v>160</v>
      </c>
      <c r="O307">
        <v>172.4</v>
      </c>
      <c r="P307">
        <v>162.6</v>
      </c>
      <c r="Q307">
        <v>190.8</v>
      </c>
      <c r="R307">
        <v>162.19999999999999</v>
      </c>
      <c r="S307">
        <v>151.80000000000001</v>
      </c>
      <c r="T307">
        <v>160.69999999999999</v>
      </c>
      <c r="U307">
        <v>160.5</v>
      </c>
      <c r="V307">
        <v>159.80000000000001</v>
      </c>
      <c r="W307">
        <v>154.80000000000001</v>
      </c>
      <c r="X307">
        <v>166.3</v>
      </c>
      <c r="Y307">
        <v>150.69999999999999</v>
      </c>
      <c r="Z307">
        <v>154.9</v>
      </c>
      <c r="AA307">
        <v>161.69999999999999</v>
      </c>
      <c r="AB307">
        <v>158.80000000000001</v>
      </c>
      <c r="AC307">
        <v>157.6</v>
      </c>
      <c r="AD307">
        <v>161.30000000000001</v>
      </c>
    </row>
    <row r="308" spans="1:30" x14ac:dyDescent="0.3">
      <c r="A308" t="s">
        <v>30</v>
      </c>
      <c r="B308">
        <v>2021</v>
      </c>
      <c r="C308" t="s">
        <v>40</v>
      </c>
      <c r="D308">
        <v>145.1</v>
      </c>
      <c r="E308">
        <v>204.5</v>
      </c>
      <c r="F308">
        <v>180.4</v>
      </c>
      <c r="G308">
        <v>157.1</v>
      </c>
      <c r="H308">
        <v>188.7</v>
      </c>
      <c r="I308">
        <v>157.69999999999999</v>
      </c>
      <c r="J308">
        <v>152.80000000000001</v>
      </c>
      <c r="K308">
        <v>163.6</v>
      </c>
      <c r="L308">
        <v>113.9</v>
      </c>
      <c r="M308">
        <v>169.7</v>
      </c>
      <c r="N308">
        <v>166.2</v>
      </c>
      <c r="O308">
        <v>171</v>
      </c>
      <c r="P308">
        <v>161.69999999999999</v>
      </c>
      <c r="Q308">
        <v>189.7</v>
      </c>
      <c r="R308">
        <v>166</v>
      </c>
      <c r="S308">
        <v>161.1</v>
      </c>
      <c r="T308">
        <v>165.3</v>
      </c>
      <c r="U308" t="s">
        <v>32</v>
      </c>
      <c r="V308">
        <v>162.5</v>
      </c>
      <c r="W308">
        <v>160.30000000000001</v>
      </c>
      <c r="X308">
        <v>170.4</v>
      </c>
      <c r="Y308">
        <v>157.1</v>
      </c>
      <c r="Z308">
        <v>160.69999999999999</v>
      </c>
      <c r="AA308">
        <v>167.2</v>
      </c>
      <c r="AB308">
        <v>160.4</v>
      </c>
      <c r="AC308">
        <v>162.80000000000001</v>
      </c>
      <c r="AD308">
        <v>163.19999999999999</v>
      </c>
    </row>
    <row r="309" spans="1:30" x14ac:dyDescent="0.3">
      <c r="A309" t="s">
        <v>33</v>
      </c>
      <c r="B309">
        <v>2021</v>
      </c>
      <c r="C309" t="s">
        <v>40</v>
      </c>
      <c r="D309">
        <v>149.1</v>
      </c>
      <c r="E309">
        <v>210.9</v>
      </c>
      <c r="F309">
        <v>185</v>
      </c>
      <c r="G309">
        <v>158.19999999999999</v>
      </c>
      <c r="H309">
        <v>170.6</v>
      </c>
      <c r="I309">
        <v>170.9</v>
      </c>
      <c r="J309">
        <v>186.4</v>
      </c>
      <c r="K309">
        <v>164.7</v>
      </c>
      <c r="L309">
        <v>115.7</v>
      </c>
      <c r="M309">
        <v>165.5</v>
      </c>
      <c r="N309">
        <v>153.4</v>
      </c>
      <c r="O309">
        <v>173.5</v>
      </c>
      <c r="P309">
        <v>167.9</v>
      </c>
      <c r="Q309">
        <v>195.5</v>
      </c>
      <c r="R309">
        <v>157.9</v>
      </c>
      <c r="S309">
        <v>141.9</v>
      </c>
      <c r="T309">
        <v>155.5</v>
      </c>
      <c r="U309">
        <v>161.5</v>
      </c>
      <c r="V309">
        <v>157.69999999999999</v>
      </c>
      <c r="W309">
        <v>150.69999999999999</v>
      </c>
      <c r="X309">
        <v>161.5</v>
      </c>
      <c r="Y309">
        <v>149.5</v>
      </c>
      <c r="Z309">
        <v>151.19999999999999</v>
      </c>
      <c r="AA309">
        <v>160.30000000000001</v>
      </c>
      <c r="AB309">
        <v>159.6</v>
      </c>
      <c r="AC309">
        <v>155</v>
      </c>
      <c r="AD309">
        <v>161.80000000000001</v>
      </c>
    </row>
    <row r="310" spans="1:30" x14ac:dyDescent="0.3">
      <c r="A310" t="s">
        <v>34</v>
      </c>
      <c r="B310">
        <v>2021</v>
      </c>
      <c r="C310" t="s">
        <v>40</v>
      </c>
      <c r="D310">
        <v>146.4</v>
      </c>
      <c r="E310">
        <v>206.8</v>
      </c>
      <c r="F310">
        <v>182.2</v>
      </c>
      <c r="G310">
        <v>157.5</v>
      </c>
      <c r="H310">
        <v>182.1</v>
      </c>
      <c r="I310">
        <v>163.9</v>
      </c>
      <c r="J310">
        <v>164.2</v>
      </c>
      <c r="K310">
        <v>164</v>
      </c>
      <c r="L310">
        <v>114.5</v>
      </c>
      <c r="M310">
        <v>168.3</v>
      </c>
      <c r="N310">
        <v>160.9</v>
      </c>
      <c r="O310">
        <v>172.2</v>
      </c>
      <c r="P310">
        <v>164</v>
      </c>
      <c r="Q310">
        <v>191.2</v>
      </c>
      <c r="R310">
        <v>162.80000000000001</v>
      </c>
      <c r="S310">
        <v>153.1</v>
      </c>
      <c r="T310">
        <v>161.4</v>
      </c>
      <c r="U310">
        <v>161.5</v>
      </c>
      <c r="V310">
        <v>160.69999999999999</v>
      </c>
      <c r="W310">
        <v>155.80000000000001</v>
      </c>
      <c r="X310">
        <v>167</v>
      </c>
      <c r="Y310">
        <v>153.1</v>
      </c>
      <c r="Z310">
        <v>155.30000000000001</v>
      </c>
      <c r="AA310">
        <v>163.19999999999999</v>
      </c>
      <c r="AB310">
        <v>160.1</v>
      </c>
      <c r="AC310">
        <v>159</v>
      </c>
      <c r="AD310">
        <v>162.5</v>
      </c>
    </row>
    <row r="311" spans="1:30" x14ac:dyDescent="0.3">
      <c r="A311" t="s">
        <v>30</v>
      </c>
      <c r="B311">
        <v>2021</v>
      </c>
      <c r="C311" t="s">
        <v>41</v>
      </c>
      <c r="D311">
        <v>144.9</v>
      </c>
      <c r="E311">
        <v>202.3</v>
      </c>
      <c r="F311">
        <v>176.5</v>
      </c>
      <c r="G311">
        <v>157.5</v>
      </c>
      <c r="H311">
        <v>190.9</v>
      </c>
      <c r="I311">
        <v>155.69999999999999</v>
      </c>
      <c r="J311">
        <v>153.9</v>
      </c>
      <c r="K311">
        <v>162.80000000000001</v>
      </c>
      <c r="L311">
        <v>115.2</v>
      </c>
      <c r="M311">
        <v>169.8</v>
      </c>
      <c r="N311">
        <v>167.6</v>
      </c>
      <c r="O311">
        <v>171.9</v>
      </c>
      <c r="P311">
        <v>161.80000000000001</v>
      </c>
      <c r="Q311">
        <v>190.2</v>
      </c>
      <c r="R311">
        <v>167</v>
      </c>
      <c r="S311">
        <v>162.6</v>
      </c>
      <c r="T311">
        <v>166.3</v>
      </c>
      <c r="U311" t="s">
        <v>32</v>
      </c>
      <c r="V311">
        <v>163.1</v>
      </c>
      <c r="W311">
        <v>160.9</v>
      </c>
      <c r="X311">
        <v>171.1</v>
      </c>
      <c r="Y311">
        <v>157.69999999999999</v>
      </c>
      <c r="Z311">
        <v>161.1</v>
      </c>
      <c r="AA311">
        <v>167.5</v>
      </c>
      <c r="AB311">
        <v>160.30000000000001</v>
      </c>
      <c r="AC311">
        <v>163.30000000000001</v>
      </c>
      <c r="AD311">
        <v>163.6</v>
      </c>
    </row>
    <row r="312" spans="1:30" x14ac:dyDescent="0.3">
      <c r="A312" t="s">
        <v>33</v>
      </c>
      <c r="B312">
        <v>2021</v>
      </c>
      <c r="C312" t="s">
        <v>41</v>
      </c>
      <c r="D312">
        <v>149.30000000000001</v>
      </c>
      <c r="E312">
        <v>207.4</v>
      </c>
      <c r="F312">
        <v>174.1</v>
      </c>
      <c r="G312">
        <v>159.19999999999999</v>
      </c>
      <c r="H312">
        <v>175</v>
      </c>
      <c r="I312">
        <v>161.30000000000001</v>
      </c>
      <c r="J312">
        <v>183.3</v>
      </c>
      <c r="K312">
        <v>164.5</v>
      </c>
      <c r="L312">
        <v>120.4</v>
      </c>
      <c r="M312">
        <v>166.2</v>
      </c>
      <c r="N312">
        <v>154.80000000000001</v>
      </c>
      <c r="O312">
        <v>175.1</v>
      </c>
      <c r="P312">
        <v>167.3</v>
      </c>
      <c r="Q312">
        <v>196.5</v>
      </c>
      <c r="R312">
        <v>159.80000000000001</v>
      </c>
      <c r="S312">
        <v>143.6</v>
      </c>
      <c r="T312">
        <v>157.30000000000001</v>
      </c>
      <c r="U312">
        <v>162.1</v>
      </c>
      <c r="V312">
        <v>160.69999999999999</v>
      </c>
      <c r="W312">
        <v>153.19999999999999</v>
      </c>
      <c r="X312">
        <v>162.80000000000001</v>
      </c>
      <c r="Y312">
        <v>150.4</v>
      </c>
      <c r="Z312">
        <v>153.69999999999999</v>
      </c>
      <c r="AA312">
        <v>160.4</v>
      </c>
      <c r="AB312">
        <v>159.6</v>
      </c>
      <c r="AC312">
        <v>156</v>
      </c>
      <c r="AD312">
        <v>162.30000000000001</v>
      </c>
    </row>
    <row r="313" spans="1:30" x14ac:dyDescent="0.3">
      <c r="A313" t="s">
        <v>34</v>
      </c>
      <c r="B313">
        <v>2021</v>
      </c>
      <c r="C313" t="s">
        <v>41</v>
      </c>
      <c r="D313">
        <v>146.6</v>
      </c>
      <c r="E313">
        <v>204</v>
      </c>
      <c r="F313">
        <v>172.8</v>
      </c>
      <c r="G313">
        <v>158.4</v>
      </c>
      <c r="H313">
        <v>188</v>
      </c>
      <c r="I313">
        <v>156.80000000000001</v>
      </c>
      <c r="J313">
        <v>162.19999999999999</v>
      </c>
      <c r="K313">
        <v>164.1</v>
      </c>
      <c r="L313">
        <v>119.7</v>
      </c>
      <c r="M313">
        <v>168.8</v>
      </c>
      <c r="N313">
        <v>162.69999999999999</v>
      </c>
      <c r="O313">
        <v>173.9</v>
      </c>
      <c r="P313">
        <v>164</v>
      </c>
      <c r="Q313">
        <v>192.1</v>
      </c>
      <c r="R313">
        <v>164.5</v>
      </c>
      <c r="S313">
        <v>155.30000000000001</v>
      </c>
      <c r="T313">
        <v>163.19999999999999</v>
      </c>
      <c r="U313">
        <v>162.1</v>
      </c>
      <c r="V313">
        <v>162.6</v>
      </c>
      <c r="W313">
        <v>157.5</v>
      </c>
      <c r="X313">
        <v>168.4</v>
      </c>
      <c r="Y313">
        <v>154</v>
      </c>
      <c r="Z313">
        <v>157.6</v>
      </c>
      <c r="AA313">
        <v>163.80000000000001</v>
      </c>
      <c r="AB313">
        <v>160</v>
      </c>
      <c r="AC313">
        <v>160</v>
      </c>
      <c r="AD313">
        <v>163.19999999999999</v>
      </c>
    </row>
    <row r="314" spans="1:30" x14ac:dyDescent="0.3">
      <c r="A314" t="s">
        <v>30</v>
      </c>
      <c r="B314">
        <v>2021</v>
      </c>
      <c r="C314" t="s">
        <v>42</v>
      </c>
      <c r="D314">
        <v>145.4</v>
      </c>
      <c r="E314">
        <v>202.1</v>
      </c>
      <c r="F314">
        <v>172</v>
      </c>
      <c r="G314">
        <v>158</v>
      </c>
      <c r="H314">
        <v>195.5</v>
      </c>
      <c r="I314">
        <v>152.69999999999999</v>
      </c>
      <c r="J314">
        <v>151.4</v>
      </c>
      <c r="K314">
        <v>163.9</v>
      </c>
      <c r="L314">
        <v>119.3</v>
      </c>
      <c r="M314">
        <v>170.1</v>
      </c>
      <c r="N314">
        <v>168.3</v>
      </c>
      <c r="O314">
        <v>172.8</v>
      </c>
      <c r="P314">
        <v>162.1</v>
      </c>
      <c r="Q314">
        <v>190.5</v>
      </c>
      <c r="R314">
        <v>167.7</v>
      </c>
      <c r="S314">
        <v>163.6</v>
      </c>
      <c r="T314">
        <v>167.1</v>
      </c>
      <c r="U314" t="s">
        <v>32</v>
      </c>
      <c r="V314">
        <v>163.69999999999999</v>
      </c>
      <c r="W314">
        <v>161.30000000000001</v>
      </c>
      <c r="X314">
        <v>171.9</v>
      </c>
      <c r="Y314">
        <v>157.80000000000001</v>
      </c>
      <c r="Z314">
        <v>162.69999999999999</v>
      </c>
      <c r="AA314">
        <v>168.5</v>
      </c>
      <c r="AB314">
        <v>160.19999999999999</v>
      </c>
      <c r="AC314">
        <v>163.80000000000001</v>
      </c>
      <c r="AD314">
        <v>164</v>
      </c>
    </row>
    <row r="315" spans="1:30" x14ac:dyDescent="0.3">
      <c r="A315" t="s">
        <v>33</v>
      </c>
      <c r="B315">
        <v>2021</v>
      </c>
      <c r="C315" t="s">
        <v>42</v>
      </c>
      <c r="D315">
        <v>149.30000000000001</v>
      </c>
      <c r="E315">
        <v>207.4</v>
      </c>
      <c r="F315">
        <v>174.1</v>
      </c>
      <c r="G315">
        <v>159.1</v>
      </c>
      <c r="H315">
        <v>175</v>
      </c>
      <c r="I315">
        <v>161.19999999999999</v>
      </c>
      <c r="J315">
        <v>183.5</v>
      </c>
      <c r="K315">
        <v>164.5</v>
      </c>
      <c r="L315">
        <v>120.4</v>
      </c>
      <c r="M315">
        <v>166.2</v>
      </c>
      <c r="N315">
        <v>154.80000000000001</v>
      </c>
      <c r="O315">
        <v>175.1</v>
      </c>
      <c r="P315">
        <v>167.3</v>
      </c>
      <c r="Q315">
        <v>196.5</v>
      </c>
      <c r="R315">
        <v>159.80000000000001</v>
      </c>
      <c r="S315">
        <v>143.6</v>
      </c>
      <c r="T315">
        <v>157.4</v>
      </c>
      <c r="U315">
        <v>162.1</v>
      </c>
      <c r="V315">
        <v>160.80000000000001</v>
      </c>
      <c r="W315">
        <v>153.30000000000001</v>
      </c>
      <c r="X315">
        <v>162.80000000000001</v>
      </c>
      <c r="Y315">
        <v>150.5</v>
      </c>
      <c r="Z315">
        <v>153.9</v>
      </c>
      <c r="AA315">
        <v>160.30000000000001</v>
      </c>
      <c r="AB315">
        <v>159.6</v>
      </c>
      <c r="AC315">
        <v>156</v>
      </c>
      <c r="AD315">
        <v>162.30000000000001</v>
      </c>
    </row>
    <row r="316" spans="1:30" x14ac:dyDescent="0.3">
      <c r="A316" t="s">
        <v>34</v>
      </c>
      <c r="B316">
        <v>2021</v>
      </c>
      <c r="C316" t="s">
        <v>42</v>
      </c>
      <c r="D316">
        <v>146.6</v>
      </c>
      <c r="E316">
        <v>204</v>
      </c>
      <c r="F316">
        <v>172.8</v>
      </c>
      <c r="G316">
        <v>158.4</v>
      </c>
      <c r="H316">
        <v>188</v>
      </c>
      <c r="I316">
        <v>156.69999999999999</v>
      </c>
      <c r="J316">
        <v>162.30000000000001</v>
      </c>
      <c r="K316">
        <v>164.1</v>
      </c>
      <c r="L316">
        <v>119.7</v>
      </c>
      <c r="M316">
        <v>168.8</v>
      </c>
      <c r="N316">
        <v>162.69999999999999</v>
      </c>
      <c r="O316">
        <v>173.9</v>
      </c>
      <c r="P316">
        <v>164</v>
      </c>
      <c r="Q316">
        <v>192.1</v>
      </c>
      <c r="R316">
        <v>164.6</v>
      </c>
      <c r="S316">
        <v>155.30000000000001</v>
      </c>
      <c r="T316">
        <v>163.30000000000001</v>
      </c>
      <c r="U316">
        <v>162.1</v>
      </c>
      <c r="V316">
        <v>162.6</v>
      </c>
      <c r="W316">
        <v>157.5</v>
      </c>
      <c r="X316">
        <v>168.4</v>
      </c>
      <c r="Y316">
        <v>154</v>
      </c>
      <c r="Z316">
        <v>157.69999999999999</v>
      </c>
      <c r="AA316">
        <v>163.69999999999999</v>
      </c>
      <c r="AB316">
        <v>160</v>
      </c>
      <c r="AC316">
        <v>160</v>
      </c>
      <c r="AD316">
        <v>163.19999999999999</v>
      </c>
    </row>
    <row r="317" spans="1:30" x14ac:dyDescent="0.3">
      <c r="A317" t="s">
        <v>30</v>
      </c>
      <c r="B317">
        <v>2021</v>
      </c>
      <c r="C317" t="s">
        <v>43</v>
      </c>
      <c r="D317">
        <v>146.1</v>
      </c>
      <c r="E317">
        <v>202.5</v>
      </c>
      <c r="F317">
        <v>170.1</v>
      </c>
      <c r="G317">
        <v>158.4</v>
      </c>
      <c r="H317">
        <v>198.8</v>
      </c>
      <c r="I317">
        <v>152.6</v>
      </c>
      <c r="J317">
        <v>170.4</v>
      </c>
      <c r="K317">
        <v>165.2</v>
      </c>
      <c r="L317">
        <v>121.6</v>
      </c>
      <c r="M317">
        <v>170.6</v>
      </c>
      <c r="N317">
        <v>168.8</v>
      </c>
      <c r="O317">
        <v>173.6</v>
      </c>
      <c r="P317">
        <v>165.5</v>
      </c>
      <c r="Q317">
        <v>191.2</v>
      </c>
      <c r="R317">
        <v>168.9</v>
      </c>
      <c r="S317">
        <v>164.8</v>
      </c>
      <c r="T317">
        <v>168.3</v>
      </c>
      <c r="U317" t="s">
        <v>32</v>
      </c>
      <c r="V317">
        <v>165.5</v>
      </c>
      <c r="W317">
        <v>162</v>
      </c>
      <c r="X317">
        <v>172.5</v>
      </c>
      <c r="Y317">
        <v>159.5</v>
      </c>
      <c r="Z317">
        <v>163.19999999999999</v>
      </c>
      <c r="AA317">
        <v>169</v>
      </c>
      <c r="AB317">
        <v>161.1</v>
      </c>
      <c r="AC317">
        <v>164.7</v>
      </c>
      <c r="AD317">
        <v>166.3</v>
      </c>
    </row>
    <row r="318" spans="1:30" x14ac:dyDescent="0.3">
      <c r="A318" t="s">
        <v>33</v>
      </c>
      <c r="B318">
        <v>2021</v>
      </c>
      <c r="C318" t="s">
        <v>43</v>
      </c>
      <c r="D318">
        <v>150.1</v>
      </c>
      <c r="E318">
        <v>208.4</v>
      </c>
      <c r="F318">
        <v>173</v>
      </c>
      <c r="G318">
        <v>159.19999999999999</v>
      </c>
      <c r="H318">
        <v>176.6</v>
      </c>
      <c r="I318">
        <v>159.30000000000001</v>
      </c>
      <c r="J318">
        <v>214.4</v>
      </c>
      <c r="K318">
        <v>165.3</v>
      </c>
      <c r="L318">
        <v>122.5</v>
      </c>
      <c r="M318">
        <v>166.8</v>
      </c>
      <c r="N318">
        <v>155.4</v>
      </c>
      <c r="O318">
        <v>175.9</v>
      </c>
      <c r="P318">
        <v>171.5</v>
      </c>
      <c r="Q318">
        <v>197</v>
      </c>
      <c r="R318">
        <v>160.80000000000001</v>
      </c>
      <c r="S318">
        <v>144.4</v>
      </c>
      <c r="T318">
        <v>158.30000000000001</v>
      </c>
      <c r="U318">
        <v>163.6</v>
      </c>
      <c r="V318">
        <v>162.19999999999999</v>
      </c>
      <c r="W318">
        <v>154.30000000000001</v>
      </c>
      <c r="X318">
        <v>163.5</v>
      </c>
      <c r="Y318">
        <v>152.19999999999999</v>
      </c>
      <c r="Z318">
        <v>155.1</v>
      </c>
      <c r="AA318">
        <v>160.30000000000001</v>
      </c>
      <c r="AB318">
        <v>160.30000000000001</v>
      </c>
      <c r="AC318">
        <v>157</v>
      </c>
      <c r="AD318">
        <v>164.6</v>
      </c>
    </row>
    <row r="319" spans="1:30" x14ac:dyDescent="0.3">
      <c r="A319" t="s">
        <v>34</v>
      </c>
      <c r="B319">
        <v>2021</v>
      </c>
      <c r="C319" t="s">
        <v>43</v>
      </c>
      <c r="D319">
        <v>147.4</v>
      </c>
      <c r="E319">
        <v>204.6</v>
      </c>
      <c r="F319">
        <v>171.2</v>
      </c>
      <c r="G319">
        <v>158.69999999999999</v>
      </c>
      <c r="H319">
        <v>190.6</v>
      </c>
      <c r="I319">
        <v>155.69999999999999</v>
      </c>
      <c r="J319">
        <v>185.3</v>
      </c>
      <c r="K319">
        <v>165.2</v>
      </c>
      <c r="L319">
        <v>121.9</v>
      </c>
      <c r="M319">
        <v>169.3</v>
      </c>
      <c r="N319">
        <v>163.19999999999999</v>
      </c>
      <c r="O319">
        <v>174.7</v>
      </c>
      <c r="P319">
        <v>167.7</v>
      </c>
      <c r="Q319">
        <v>192.7</v>
      </c>
      <c r="R319">
        <v>165.7</v>
      </c>
      <c r="S319">
        <v>156.30000000000001</v>
      </c>
      <c r="T319">
        <v>164.3</v>
      </c>
      <c r="U319">
        <v>163.6</v>
      </c>
      <c r="V319">
        <v>164.2</v>
      </c>
      <c r="W319">
        <v>158.4</v>
      </c>
      <c r="X319">
        <v>169.1</v>
      </c>
      <c r="Y319">
        <v>155.69999999999999</v>
      </c>
      <c r="Z319">
        <v>158.6</v>
      </c>
      <c r="AA319">
        <v>163.9</v>
      </c>
      <c r="AB319">
        <v>160.80000000000001</v>
      </c>
      <c r="AC319">
        <v>161</v>
      </c>
      <c r="AD319">
        <v>165.5</v>
      </c>
    </row>
    <row r="320" spans="1:30" x14ac:dyDescent="0.3">
      <c r="A320" t="s">
        <v>30</v>
      </c>
      <c r="B320">
        <v>2021</v>
      </c>
      <c r="C320" t="s">
        <v>44</v>
      </c>
      <c r="D320">
        <v>146.9</v>
      </c>
      <c r="E320">
        <v>199.8</v>
      </c>
      <c r="F320">
        <v>171.5</v>
      </c>
      <c r="G320">
        <v>159.1</v>
      </c>
      <c r="H320">
        <v>198.4</v>
      </c>
      <c r="I320">
        <v>153.19999999999999</v>
      </c>
      <c r="J320">
        <v>183.9</v>
      </c>
      <c r="K320">
        <v>165.4</v>
      </c>
      <c r="L320">
        <v>122.1</v>
      </c>
      <c r="M320">
        <v>170.8</v>
      </c>
      <c r="N320">
        <v>169.1</v>
      </c>
      <c r="O320">
        <v>174.3</v>
      </c>
      <c r="P320">
        <v>167.5</v>
      </c>
      <c r="Q320">
        <v>191.4</v>
      </c>
      <c r="R320">
        <v>170.4</v>
      </c>
      <c r="S320">
        <v>166</v>
      </c>
      <c r="T320">
        <v>169.8</v>
      </c>
      <c r="U320" t="s">
        <v>32</v>
      </c>
      <c r="V320">
        <v>165.3</v>
      </c>
      <c r="W320">
        <v>162.9</v>
      </c>
      <c r="X320">
        <v>173.4</v>
      </c>
      <c r="Y320">
        <v>158.9</v>
      </c>
      <c r="Z320">
        <v>163.80000000000001</v>
      </c>
      <c r="AA320">
        <v>169.3</v>
      </c>
      <c r="AB320">
        <v>162.4</v>
      </c>
      <c r="AC320">
        <v>165.2</v>
      </c>
      <c r="AD320">
        <v>167.6</v>
      </c>
    </row>
    <row r="321" spans="1:30" x14ac:dyDescent="0.3">
      <c r="A321" t="s">
        <v>33</v>
      </c>
      <c r="B321">
        <v>2021</v>
      </c>
      <c r="C321" t="s">
        <v>44</v>
      </c>
      <c r="D321">
        <v>151</v>
      </c>
      <c r="E321">
        <v>204.9</v>
      </c>
      <c r="F321">
        <v>175.4</v>
      </c>
      <c r="G321">
        <v>159.6</v>
      </c>
      <c r="H321">
        <v>175.8</v>
      </c>
      <c r="I321">
        <v>160.30000000000001</v>
      </c>
      <c r="J321">
        <v>229.1</v>
      </c>
      <c r="K321">
        <v>165.1</v>
      </c>
      <c r="L321">
        <v>123.1</v>
      </c>
      <c r="M321">
        <v>167.2</v>
      </c>
      <c r="N321">
        <v>156.1</v>
      </c>
      <c r="O321">
        <v>176.8</v>
      </c>
      <c r="P321">
        <v>173.5</v>
      </c>
      <c r="Q321">
        <v>197</v>
      </c>
      <c r="R321">
        <v>162.30000000000001</v>
      </c>
      <c r="S321">
        <v>145.30000000000001</v>
      </c>
      <c r="T321">
        <v>159.69999999999999</v>
      </c>
      <c r="U321">
        <v>164.2</v>
      </c>
      <c r="V321">
        <v>161.6</v>
      </c>
      <c r="W321">
        <v>155.19999999999999</v>
      </c>
      <c r="X321">
        <v>164.2</v>
      </c>
      <c r="Y321">
        <v>151.19999999999999</v>
      </c>
      <c r="Z321">
        <v>156.69999999999999</v>
      </c>
      <c r="AA321">
        <v>160.80000000000001</v>
      </c>
      <c r="AB321">
        <v>161.80000000000001</v>
      </c>
      <c r="AC321">
        <v>157.30000000000001</v>
      </c>
      <c r="AD321">
        <v>165.6</v>
      </c>
    </row>
    <row r="322" spans="1:30" x14ac:dyDescent="0.3">
      <c r="A322" t="s">
        <v>34</v>
      </c>
      <c r="B322">
        <v>2021</v>
      </c>
      <c r="C322" t="s">
        <v>44</v>
      </c>
      <c r="D322">
        <v>148.19999999999999</v>
      </c>
      <c r="E322">
        <v>201.6</v>
      </c>
      <c r="F322">
        <v>173</v>
      </c>
      <c r="G322">
        <v>159.30000000000001</v>
      </c>
      <c r="H322">
        <v>190.1</v>
      </c>
      <c r="I322">
        <v>156.5</v>
      </c>
      <c r="J322">
        <v>199.2</v>
      </c>
      <c r="K322">
        <v>165.3</v>
      </c>
      <c r="L322">
        <v>122.4</v>
      </c>
      <c r="M322">
        <v>169.6</v>
      </c>
      <c r="N322">
        <v>163.69999999999999</v>
      </c>
      <c r="O322">
        <v>175.5</v>
      </c>
      <c r="P322">
        <v>169.7</v>
      </c>
      <c r="Q322">
        <v>192.9</v>
      </c>
      <c r="R322">
        <v>167.2</v>
      </c>
      <c r="S322">
        <v>157.4</v>
      </c>
      <c r="T322">
        <v>165.8</v>
      </c>
      <c r="U322">
        <v>164.2</v>
      </c>
      <c r="V322">
        <v>163.9</v>
      </c>
      <c r="W322">
        <v>159.30000000000001</v>
      </c>
      <c r="X322">
        <v>169.9</v>
      </c>
      <c r="Y322">
        <v>154.80000000000001</v>
      </c>
      <c r="Z322">
        <v>159.80000000000001</v>
      </c>
      <c r="AA322">
        <v>164.3</v>
      </c>
      <c r="AB322">
        <v>162.19999999999999</v>
      </c>
      <c r="AC322">
        <v>161.4</v>
      </c>
      <c r="AD322">
        <v>166.7</v>
      </c>
    </row>
    <row r="323" spans="1:30" x14ac:dyDescent="0.3">
      <c r="A323" t="s">
        <v>30</v>
      </c>
      <c r="B323">
        <v>2021</v>
      </c>
      <c r="C323" t="s">
        <v>45</v>
      </c>
      <c r="D323">
        <v>147.4</v>
      </c>
      <c r="E323">
        <v>197</v>
      </c>
      <c r="F323">
        <v>176.5</v>
      </c>
      <c r="G323">
        <v>159.80000000000001</v>
      </c>
      <c r="H323">
        <v>195.8</v>
      </c>
      <c r="I323">
        <v>152</v>
      </c>
      <c r="J323">
        <v>172.3</v>
      </c>
      <c r="K323">
        <v>164.5</v>
      </c>
      <c r="L323">
        <v>120.6</v>
      </c>
      <c r="M323">
        <v>171.7</v>
      </c>
      <c r="N323">
        <v>169.7</v>
      </c>
      <c r="O323">
        <v>175.1</v>
      </c>
      <c r="P323">
        <v>165.8</v>
      </c>
      <c r="Q323">
        <v>190.8</v>
      </c>
      <c r="R323">
        <v>171.8</v>
      </c>
      <c r="S323">
        <v>167.3</v>
      </c>
      <c r="T323">
        <v>171.2</v>
      </c>
      <c r="U323" t="s">
        <v>32</v>
      </c>
      <c r="V323">
        <v>165.6</v>
      </c>
      <c r="W323">
        <v>163.9</v>
      </c>
      <c r="X323">
        <v>174</v>
      </c>
      <c r="Y323">
        <v>160.1</v>
      </c>
      <c r="Z323">
        <v>164.5</v>
      </c>
      <c r="AA323">
        <v>169.7</v>
      </c>
      <c r="AB323">
        <v>162.80000000000001</v>
      </c>
      <c r="AC323">
        <v>166</v>
      </c>
      <c r="AD323">
        <v>167</v>
      </c>
    </row>
    <row r="324" spans="1:30" x14ac:dyDescent="0.3">
      <c r="A324" t="s">
        <v>33</v>
      </c>
      <c r="B324">
        <v>2021</v>
      </c>
      <c r="C324" t="s">
        <v>45</v>
      </c>
      <c r="D324">
        <v>151.6</v>
      </c>
      <c r="E324">
        <v>202.2</v>
      </c>
      <c r="F324">
        <v>180</v>
      </c>
      <c r="G324">
        <v>160</v>
      </c>
      <c r="H324">
        <v>173.5</v>
      </c>
      <c r="I324">
        <v>158.30000000000001</v>
      </c>
      <c r="J324">
        <v>219.5</v>
      </c>
      <c r="K324">
        <v>164.2</v>
      </c>
      <c r="L324">
        <v>121.9</v>
      </c>
      <c r="M324">
        <v>168.2</v>
      </c>
      <c r="N324">
        <v>156.5</v>
      </c>
      <c r="O324">
        <v>178.2</v>
      </c>
      <c r="P324">
        <v>172.2</v>
      </c>
      <c r="Q324">
        <v>196.8</v>
      </c>
      <c r="R324">
        <v>163.30000000000001</v>
      </c>
      <c r="S324">
        <v>146.69999999999999</v>
      </c>
      <c r="T324">
        <v>160.69999999999999</v>
      </c>
      <c r="U324">
        <v>163.4</v>
      </c>
      <c r="V324">
        <v>161.69999999999999</v>
      </c>
      <c r="W324">
        <v>156</v>
      </c>
      <c r="X324">
        <v>165.1</v>
      </c>
      <c r="Y324">
        <v>151.80000000000001</v>
      </c>
      <c r="Z324">
        <v>157.6</v>
      </c>
      <c r="AA324">
        <v>160.6</v>
      </c>
      <c r="AB324">
        <v>162.4</v>
      </c>
      <c r="AC324">
        <v>157.80000000000001</v>
      </c>
      <c r="AD324">
        <v>165.2</v>
      </c>
    </row>
    <row r="325" spans="1:30" x14ac:dyDescent="0.3">
      <c r="A325" t="s">
        <v>34</v>
      </c>
      <c r="B325">
        <v>2021</v>
      </c>
      <c r="C325" t="s">
        <v>45</v>
      </c>
      <c r="D325">
        <v>148.69999999999999</v>
      </c>
      <c r="E325">
        <v>198.8</v>
      </c>
      <c r="F325">
        <v>177.9</v>
      </c>
      <c r="G325">
        <v>159.9</v>
      </c>
      <c r="H325">
        <v>187.6</v>
      </c>
      <c r="I325">
        <v>154.9</v>
      </c>
      <c r="J325">
        <v>188.3</v>
      </c>
      <c r="K325">
        <v>164.4</v>
      </c>
      <c r="L325">
        <v>121</v>
      </c>
      <c r="M325">
        <v>170.5</v>
      </c>
      <c r="N325">
        <v>164.2</v>
      </c>
      <c r="O325">
        <v>176.5</v>
      </c>
      <c r="P325">
        <v>168.2</v>
      </c>
      <c r="Q325">
        <v>192.4</v>
      </c>
      <c r="R325">
        <v>168.5</v>
      </c>
      <c r="S325">
        <v>158.69999999999999</v>
      </c>
      <c r="T325">
        <v>167</v>
      </c>
      <c r="U325">
        <v>163.4</v>
      </c>
      <c r="V325">
        <v>164.1</v>
      </c>
      <c r="W325">
        <v>160.19999999999999</v>
      </c>
      <c r="X325">
        <v>170.6</v>
      </c>
      <c r="Y325">
        <v>155.69999999999999</v>
      </c>
      <c r="Z325">
        <v>160.6</v>
      </c>
      <c r="AA325">
        <v>164.4</v>
      </c>
      <c r="AB325">
        <v>162.6</v>
      </c>
      <c r="AC325">
        <v>162</v>
      </c>
      <c r="AD325">
        <v>166.2</v>
      </c>
    </row>
    <row r="326" spans="1:30" x14ac:dyDescent="0.3">
      <c r="A326" t="s">
        <v>30</v>
      </c>
      <c r="B326">
        <v>2022</v>
      </c>
      <c r="C326" t="s">
        <v>31</v>
      </c>
      <c r="D326">
        <v>148.30000000000001</v>
      </c>
      <c r="E326">
        <v>196.9</v>
      </c>
      <c r="F326">
        <v>178</v>
      </c>
      <c r="G326">
        <v>160.5</v>
      </c>
      <c r="H326">
        <v>192.6</v>
      </c>
      <c r="I326">
        <v>151.19999999999999</v>
      </c>
      <c r="J326">
        <v>159.19999999999999</v>
      </c>
      <c r="K326">
        <v>164</v>
      </c>
      <c r="L326">
        <v>119.3</v>
      </c>
      <c r="M326">
        <v>173.3</v>
      </c>
      <c r="N326">
        <v>169.8</v>
      </c>
      <c r="O326">
        <v>175.8</v>
      </c>
      <c r="P326">
        <v>164.1</v>
      </c>
      <c r="Q326">
        <v>190.7</v>
      </c>
      <c r="R326">
        <v>173.2</v>
      </c>
      <c r="S326">
        <v>169.3</v>
      </c>
      <c r="T326">
        <v>172.7</v>
      </c>
      <c r="U326" t="s">
        <v>32</v>
      </c>
      <c r="V326">
        <v>165.8</v>
      </c>
      <c r="W326">
        <v>164.9</v>
      </c>
      <c r="X326">
        <v>174.7</v>
      </c>
      <c r="Y326">
        <v>160.80000000000001</v>
      </c>
      <c r="Z326">
        <v>164.9</v>
      </c>
      <c r="AA326">
        <v>169.9</v>
      </c>
      <c r="AB326">
        <v>163.19999999999999</v>
      </c>
      <c r="AC326">
        <v>166.6</v>
      </c>
      <c r="AD326">
        <v>166.4</v>
      </c>
    </row>
    <row r="327" spans="1:30" x14ac:dyDescent="0.3">
      <c r="A327" t="s">
        <v>33</v>
      </c>
      <c r="B327">
        <v>2022</v>
      </c>
      <c r="C327" t="s">
        <v>31</v>
      </c>
      <c r="D327">
        <v>152.19999999999999</v>
      </c>
      <c r="E327">
        <v>202.1</v>
      </c>
      <c r="F327">
        <v>180.1</v>
      </c>
      <c r="G327">
        <v>160.4</v>
      </c>
      <c r="H327">
        <v>171</v>
      </c>
      <c r="I327">
        <v>156.5</v>
      </c>
      <c r="J327">
        <v>203.6</v>
      </c>
      <c r="K327">
        <v>163.80000000000001</v>
      </c>
      <c r="L327">
        <v>121.3</v>
      </c>
      <c r="M327">
        <v>169.8</v>
      </c>
      <c r="N327">
        <v>156.6</v>
      </c>
      <c r="O327">
        <v>179</v>
      </c>
      <c r="P327">
        <v>170.3</v>
      </c>
      <c r="Q327">
        <v>196.4</v>
      </c>
      <c r="R327">
        <v>164.7</v>
      </c>
      <c r="S327">
        <v>148.5</v>
      </c>
      <c r="T327">
        <v>162.19999999999999</v>
      </c>
      <c r="U327">
        <v>164.5</v>
      </c>
      <c r="V327">
        <v>161.6</v>
      </c>
      <c r="W327">
        <v>156.80000000000001</v>
      </c>
      <c r="X327">
        <v>166.1</v>
      </c>
      <c r="Y327">
        <v>152.69999999999999</v>
      </c>
      <c r="Z327">
        <v>158.4</v>
      </c>
      <c r="AA327">
        <v>161</v>
      </c>
      <c r="AB327">
        <v>162.80000000000001</v>
      </c>
      <c r="AC327">
        <v>158.6</v>
      </c>
      <c r="AD327">
        <v>165</v>
      </c>
    </row>
    <row r="328" spans="1:30" x14ac:dyDescent="0.3">
      <c r="A328" t="s">
        <v>34</v>
      </c>
      <c r="B328">
        <v>2022</v>
      </c>
      <c r="C328" t="s">
        <v>31</v>
      </c>
      <c r="D328">
        <v>149.5</v>
      </c>
      <c r="E328">
        <v>198.7</v>
      </c>
      <c r="F328">
        <v>178.8</v>
      </c>
      <c r="G328">
        <v>160.5</v>
      </c>
      <c r="H328">
        <v>184.7</v>
      </c>
      <c r="I328">
        <v>153.69999999999999</v>
      </c>
      <c r="J328">
        <v>174.3</v>
      </c>
      <c r="K328">
        <v>163.9</v>
      </c>
      <c r="L328">
        <v>120</v>
      </c>
      <c r="M328">
        <v>172.1</v>
      </c>
      <c r="N328">
        <v>164.3</v>
      </c>
      <c r="O328">
        <v>177.3</v>
      </c>
      <c r="P328">
        <v>166.4</v>
      </c>
      <c r="Q328">
        <v>192.2</v>
      </c>
      <c r="R328">
        <v>169.9</v>
      </c>
      <c r="S328">
        <v>160.69999999999999</v>
      </c>
      <c r="T328">
        <v>168.5</v>
      </c>
      <c r="U328">
        <v>164.5</v>
      </c>
      <c r="V328">
        <v>164.2</v>
      </c>
      <c r="W328">
        <v>161.1</v>
      </c>
      <c r="X328">
        <v>171.4</v>
      </c>
      <c r="Y328">
        <v>156.5</v>
      </c>
      <c r="Z328">
        <v>161.19999999999999</v>
      </c>
      <c r="AA328">
        <v>164.7</v>
      </c>
      <c r="AB328">
        <v>163</v>
      </c>
      <c r="AC328">
        <v>162.69999999999999</v>
      </c>
      <c r="AD328">
        <v>165.7</v>
      </c>
    </row>
    <row r="329" spans="1:30" x14ac:dyDescent="0.3">
      <c r="A329" t="s">
        <v>30</v>
      </c>
      <c r="B329">
        <v>2022</v>
      </c>
      <c r="C329" t="s">
        <v>35</v>
      </c>
      <c r="D329">
        <v>148.80000000000001</v>
      </c>
      <c r="E329">
        <v>198.1</v>
      </c>
      <c r="F329">
        <v>175.5</v>
      </c>
      <c r="G329">
        <v>160.69999999999999</v>
      </c>
      <c r="H329">
        <v>192.6</v>
      </c>
      <c r="I329">
        <v>151.4</v>
      </c>
      <c r="J329">
        <v>155.19999999999999</v>
      </c>
      <c r="K329">
        <v>163.9</v>
      </c>
      <c r="L329">
        <v>118.1</v>
      </c>
      <c r="M329">
        <v>175.4</v>
      </c>
      <c r="N329">
        <v>170.5</v>
      </c>
      <c r="O329">
        <v>176.3</v>
      </c>
      <c r="P329">
        <v>163.9</v>
      </c>
      <c r="Q329">
        <v>191.5</v>
      </c>
      <c r="R329">
        <v>174.1</v>
      </c>
      <c r="S329">
        <v>171</v>
      </c>
      <c r="T329">
        <v>173.7</v>
      </c>
      <c r="U329" t="s">
        <v>32</v>
      </c>
      <c r="V329">
        <v>167.4</v>
      </c>
      <c r="W329">
        <v>165.7</v>
      </c>
      <c r="X329">
        <v>175.3</v>
      </c>
      <c r="Y329">
        <v>161.19999999999999</v>
      </c>
      <c r="Z329">
        <v>165.5</v>
      </c>
      <c r="AA329">
        <v>170.3</v>
      </c>
      <c r="AB329">
        <v>164.5</v>
      </c>
      <c r="AC329">
        <v>167.3</v>
      </c>
      <c r="AD329">
        <v>166.7</v>
      </c>
    </row>
    <row r="330" spans="1:30" x14ac:dyDescent="0.3">
      <c r="A330" t="s">
        <v>33</v>
      </c>
      <c r="B330">
        <v>2022</v>
      </c>
      <c r="C330" t="s">
        <v>35</v>
      </c>
      <c r="D330">
        <v>152.5</v>
      </c>
      <c r="E330">
        <v>205.2</v>
      </c>
      <c r="F330">
        <v>176.4</v>
      </c>
      <c r="G330">
        <v>160.6</v>
      </c>
      <c r="H330">
        <v>171.5</v>
      </c>
      <c r="I330">
        <v>156.4</v>
      </c>
      <c r="J330">
        <v>198</v>
      </c>
      <c r="K330">
        <v>163.19999999999999</v>
      </c>
      <c r="L330">
        <v>120.6</v>
      </c>
      <c r="M330">
        <v>172.2</v>
      </c>
      <c r="N330">
        <v>156.69999999999999</v>
      </c>
      <c r="O330">
        <v>180</v>
      </c>
      <c r="P330">
        <v>170.2</v>
      </c>
      <c r="Q330">
        <v>196.5</v>
      </c>
      <c r="R330">
        <v>165.7</v>
      </c>
      <c r="S330">
        <v>150.4</v>
      </c>
      <c r="T330">
        <v>163.4</v>
      </c>
      <c r="U330">
        <v>165.5</v>
      </c>
      <c r="V330">
        <v>163</v>
      </c>
      <c r="W330">
        <v>157.4</v>
      </c>
      <c r="X330">
        <v>167.2</v>
      </c>
      <c r="Y330">
        <v>153.1</v>
      </c>
      <c r="Z330">
        <v>159.5</v>
      </c>
      <c r="AA330">
        <v>162</v>
      </c>
      <c r="AB330">
        <v>164.2</v>
      </c>
      <c r="AC330">
        <v>159.4</v>
      </c>
      <c r="AD330">
        <v>165.5</v>
      </c>
    </row>
    <row r="331" spans="1:30" x14ac:dyDescent="0.3">
      <c r="A331" t="s">
        <v>34</v>
      </c>
      <c r="B331">
        <v>2022</v>
      </c>
      <c r="C331" t="s">
        <v>35</v>
      </c>
      <c r="D331">
        <v>150</v>
      </c>
      <c r="E331">
        <v>200.6</v>
      </c>
      <c r="F331">
        <v>175.8</v>
      </c>
      <c r="G331">
        <v>160.69999999999999</v>
      </c>
      <c r="H331">
        <v>184.9</v>
      </c>
      <c r="I331">
        <v>153.69999999999999</v>
      </c>
      <c r="J331">
        <v>169.7</v>
      </c>
      <c r="K331">
        <v>163.69999999999999</v>
      </c>
      <c r="L331">
        <v>118.9</v>
      </c>
      <c r="M331">
        <v>174.3</v>
      </c>
      <c r="N331">
        <v>164.7</v>
      </c>
      <c r="O331">
        <v>178</v>
      </c>
      <c r="P331">
        <v>166.2</v>
      </c>
      <c r="Q331">
        <v>192.8</v>
      </c>
      <c r="R331">
        <v>170.8</v>
      </c>
      <c r="S331">
        <v>162.4</v>
      </c>
      <c r="T331">
        <v>169.6</v>
      </c>
      <c r="U331">
        <v>165.5</v>
      </c>
      <c r="V331">
        <v>165.7</v>
      </c>
      <c r="W331">
        <v>161.80000000000001</v>
      </c>
      <c r="X331">
        <v>172.2</v>
      </c>
      <c r="Y331">
        <v>156.9</v>
      </c>
      <c r="Z331">
        <v>162.1</v>
      </c>
      <c r="AA331">
        <v>165.4</v>
      </c>
      <c r="AB331">
        <v>164.4</v>
      </c>
      <c r="AC331">
        <v>163.5</v>
      </c>
      <c r="AD331">
        <v>166.1</v>
      </c>
    </row>
    <row r="332" spans="1:30" x14ac:dyDescent="0.3">
      <c r="A332" t="s">
        <v>30</v>
      </c>
      <c r="B332">
        <v>2022</v>
      </c>
      <c r="C332" t="s">
        <v>36</v>
      </c>
      <c r="D332">
        <v>150.19999999999999</v>
      </c>
      <c r="E332">
        <v>208</v>
      </c>
      <c r="F332">
        <v>167.9</v>
      </c>
      <c r="G332">
        <v>162</v>
      </c>
      <c r="H332">
        <v>203.1</v>
      </c>
      <c r="I332">
        <v>155.9</v>
      </c>
      <c r="J332">
        <v>155.80000000000001</v>
      </c>
      <c r="K332">
        <v>164.2</v>
      </c>
      <c r="L332">
        <v>118.1</v>
      </c>
      <c r="M332">
        <v>178.7</v>
      </c>
      <c r="N332">
        <v>171.2</v>
      </c>
      <c r="O332">
        <v>177.4</v>
      </c>
      <c r="P332">
        <v>166.6</v>
      </c>
      <c r="Q332">
        <v>192.3</v>
      </c>
      <c r="R332">
        <v>175.4</v>
      </c>
      <c r="S332">
        <v>173.2</v>
      </c>
      <c r="T332">
        <v>175.1</v>
      </c>
      <c r="U332" t="s">
        <v>32</v>
      </c>
      <c r="V332">
        <v>168.9</v>
      </c>
      <c r="W332">
        <v>166.5</v>
      </c>
      <c r="X332">
        <v>176</v>
      </c>
      <c r="Y332">
        <v>162</v>
      </c>
      <c r="Z332">
        <v>166.6</v>
      </c>
      <c r="AA332">
        <v>170.6</v>
      </c>
      <c r="AB332">
        <v>167.4</v>
      </c>
      <c r="AC332">
        <v>168.3</v>
      </c>
      <c r="AD332">
        <v>168.7</v>
      </c>
    </row>
    <row r="333" spans="1:30" x14ac:dyDescent="0.3">
      <c r="A333" t="s">
        <v>33</v>
      </c>
      <c r="B333">
        <v>2022</v>
      </c>
      <c r="C333" t="s">
        <v>36</v>
      </c>
      <c r="D333">
        <v>153.69999999999999</v>
      </c>
      <c r="E333">
        <v>215.8</v>
      </c>
      <c r="F333">
        <v>167.7</v>
      </c>
      <c r="G333">
        <v>162.6</v>
      </c>
      <c r="H333">
        <v>180</v>
      </c>
      <c r="I333">
        <v>159.6</v>
      </c>
      <c r="J333">
        <v>188.4</v>
      </c>
      <c r="K333">
        <v>163.4</v>
      </c>
      <c r="L333">
        <v>120.3</v>
      </c>
      <c r="M333">
        <v>174.7</v>
      </c>
      <c r="N333">
        <v>157.1</v>
      </c>
      <c r="O333">
        <v>181.5</v>
      </c>
      <c r="P333">
        <v>171.5</v>
      </c>
      <c r="Q333">
        <v>197.5</v>
      </c>
      <c r="R333">
        <v>167.1</v>
      </c>
      <c r="S333">
        <v>152.6</v>
      </c>
      <c r="T333">
        <v>164.9</v>
      </c>
      <c r="U333">
        <v>165.3</v>
      </c>
      <c r="V333">
        <v>164.5</v>
      </c>
      <c r="W333">
        <v>158.6</v>
      </c>
      <c r="X333">
        <v>168.2</v>
      </c>
      <c r="Y333">
        <v>154.19999999999999</v>
      </c>
      <c r="Z333">
        <v>160.80000000000001</v>
      </c>
      <c r="AA333">
        <v>162.69999999999999</v>
      </c>
      <c r="AB333">
        <v>166.8</v>
      </c>
      <c r="AC333">
        <v>160.6</v>
      </c>
      <c r="AD333">
        <v>166.5</v>
      </c>
    </row>
    <row r="334" spans="1:30" x14ac:dyDescent="0.3">
      <c r="A334" t="s">
        <v>34</v>
      </c>
      <c r="B334">
        <v>2022</v>
      </c>
      <c r="C334" t="s">
        <v>36</v>
      </c>
      <c r="D334">
        <v>151.30000000000001</v>
      </c>
      <c r="E334">
        <v>210.7</v>
      </c>
      <c r="F334">
        <v>167.8</v>
      </c>
      <c r="G334">
        <v>162.19999999999999</v>
      </c>
      <c r="H334">
        <v>194.6</v>
      </c>
      <c r="I334">
        <v>157.6</v>
      </c>
      <c r="J334">
        <v>166.9</v>
      </c>
      <c r="K334">
        <v>163.9</v>
      </c>
      <c r="L334">
        <v>118.8</v>
      </c>
      <c r="M334">
        <v>177.4</v>
      </c>
      <c r="N334">
        <v>165.3</v>
      </c>
      <c r="O334">
        <v>179.3</v>
      </c>
      <c r="P334">
        <v>168.4</v>
      </c>
      <c r="Q334">
        <v>193.7</v>
      </c>
      <c r="R334">
        <v>172.1</v>
      </c>
      <c r="S334">
        <v>164.6</v>
      </c>
      <c r="T334">
        <v>171.1</v>
      </c>
      <c r="U334">
        <v>165.3</v>
      </c>
      <c r="V334">
        <v>167.2</v>
      </c>
      <c r="W334">
        <v>162.80000000000001</v>
      </c>
      <c r="X334">
        <v>173</v>
      </c>
      <c r="Y334">
        <v>157.9</v>
      </c>
      <c r="Z334">
        <v>163.30000000000001</v>
      </c>
      <c r="AA334">
        <v>166</v>
      </c>
      <c r="AB334">
        <v>167.2</v>
      </c>
      <c r="AC334">
        <v>164.6</v>
      </c>
      <c r="AD334">
        <v>167.7</v>
      </c>
    </row>
    <row r="335" spans="1:30" x14ac:dyDescent="0.3">
      <c r="A335" t="s">
        <v>30</v>
      </c>
      <c r="B335">
        <v>2022</v>
      </c>
      <c r="C335" t="s">
        <v>37</v>
      </c>
      <c r="D335">
        <v>151.80000000000001</v>
      </c>
      <c r="E335">
        <v>209.7</v>
      </c>
      <c r="F335">
        <v>164.5</v>
      </c>
      <c r="G335">
        <v>163.80000000000001</v>
      </c>
      <c r="H335">
        <v>207.4</v>
      </c>
      <c r="I335">
        <v>169.7</v>
      </c>
      <c r="J335">
        <v>153.6</v>
      </c>
      <c r="K335">
        <v>165.1</v>
      </c>
      <c r="L335">
        <v>118.2</v>
      </c>
      <c r="M335">
        <v>182.9</v>
      </c>
      <c r="N335">
        <v>172.4</v>
      </c>
      <c r="O335">
        <v>178.9</v>
      </c>
      <c r="P335">
        <v>168.6</v>
      </c>
      <c r="Q335">
        <v>192.8</v>
      </c>
      <c r="R335">
        <v>177.5</v>
      </c>
      <c r="S335">
        <v>175.1</v>
      </c>
      <c r="T335">
        <v>177.1</v>
      </c>
      <c r="U335" t="s">
        <v>32</v>
      </c>
      <c r="V335">
        <v>173.3</v>
      </c>
      <c r="W335">
        <v>167.7</v>
      </c>
      <c r="X335">
        <v>177</v>
      </c>
      <c r="Y335">
        <v>166.2</v>
      </c>
      <c r="Z335">
        <v>167.2</v>
      </c>
      <c r="AA335">
        <v>170.9</v>
      </c>
      <c r="AB335">
        <v>169</v>
      </c>
      <c r="AC335">
        <v>170.2</v>
      </c>
      <c r="AD335">
        <v>170.8</v>
      </c>
    </row>
    <row r="336" spans="1:30" x14ac:dyDescent="0.3">
      <c r="A336" t="s">
        <v>33</v>
      </c>
      <c r="B336">
        <v>2022</v>
      </c>
      <c r="C336" t="s">
        <v>37</v>
      </c>
      <c r="D336">
        <v>155.4</v>
      </c>
      <c r="E336">
        <v>215.8</v>
      </c>
      <c r="F336">
        <v>164.6</v>
      </c>
      <c r="G336">
        <v>164.2</v>
      </c>
      <c r="H336">
        <v>186</v>
      </c>
      <c r="I336">
        <v>175.9</v>
      </c>
      <c r="J336">
        <v>190.7</v>
      </c>
      <c r="K336">
        <v>164</v>
      </c>
      <c r="L336">
        <v>120.5</v>
      </c>
      <c r="M336">
        <v>178</v>
      </c>
      <c r="N336">
        <v>157.5</v>
      </c>
      <c r="O336">
        <v>183.3</v>
      </c>
      <c r="P336">
        <v>174.5</v>
      </c>
      <c r="Q336">
        <v>197.1</v>
      </c>
      <c r="R336">
        <v>168.4</v>
      </c>
      <c r="S336">
        <v>154.5</v>
      </c>
      <c r="T336">
        <v>166.3</v>
      </c>
      <c r="U336">
        <v>167</v>
      </c>
      <c r="V336">
        <v>170.5</v>
      </c>
      <c r="W336">
        <v>159.80000000000001</v>
      </c>
      <c r="X336">
        <v>169</v>
      </c>
      <c r="Y336">
        <v>159.30000000000001</v>
      </c>
      <c r="Z336">
        <v>162.19999999999999</v>
      </c>
      <c r="AA336">
        <v>164</v>
      </c>
      <c r="AB336">
        <v>168.4</v>
      </c>
      <c r="AC336">
        <v>163.1</v>
      </c>
      <c r="AD336">
        <v>169.2</v>
      </c>
    </row>
    <row r="337" spans="1:30" x14ac:dyDescent="0.3">
      <c r="A337" t="s">
        <v>34</v>
      </c>
      <c r="B337">
        <v>2022</v>
      </c>
      <c r="C337" t="s">
        <v>37</v>
      </c>
      <c r="D337">
        <v>152.9</v>
      </c>
      <c r="E337">
        <v>211.8</v>
      </c>
      <c r="F337">
        <v>164.5</v>
      </c>
      <c r="G337">
        <v>163.9</v>
      </c>
      <c r="H337">
        <v>199.5</v>
      </c>
      <c r="I337">
        <v>172.6</v>
      </c>
      <c r="J337">
        <v>166.2</v>
      </c>
      <c r="K337">
        <v>164.7</v>
      </c>
      <c r="L337">
        <v>119</v>
      </c>
      <c r="M337">
        <v>181.3</v>
      </c>
      <c r="N337">
        <v>166.2</v>
      </c>
      <c r="O337">
        <v>180.9</v>
      </c>
      <c r="P337">
        <v>170.8</v>
      </c>
      <c r="Q337">
        <v>193.9</v>
      </c>
      <c r="R337">
        <v>173.9</v>
      </c>
      <c r="S337">
        <v>166.5</v>
      </c>
      <c r="T337">
        <v>172.8</v>
      </c>
      <c r="U337">
        <v>167</v>
      </c>
      <c r="V337">
        <v>172.2</v>
      </c>
      <c r="W337">
        <v>164</v>
      </c>
      <c r="X337">
        <v>174</v>
      </c>
      <c r="Y337">
        <v>162.6</v>
      </c>
      <c r="Z337">
        <v>164.4</v>
      </c>
      <c r="AA337">
        <v>166.9</v>
      </c>
      <c r="AB337">
        <v>168.8</v>
      </c>
      <c r="AC337">
        <v>166.8</v>
      </c>
      <c r="AD337">
        <v>170.1</v>
      </c>
    </row>
    <row r="338" spans="1:30" x14ac:dyDescent="0.3">
      <c r="A338" t="s">
        <v>30</v>
      </c>
      <c r="B338">
        <v>2022</v>
      </c>
      <c r="C338" t="s">
        <v>38</v>
      </c>
      <c r="D338">
        <v>152.9</v>
      </c>
      <c r="E338">
        <v>214.7</v>
      </c>
      <c r="F338">
        <v>161.4</v>
      </c>
      <c r="G338">
        <v>164.6</v>
      </c>
      <c r="H338">
        <v>209.9</v>
      </c>
      <c r="I338">
        <v>168</v>
      </c>
      <c r="J338">
        <v>160.4</v>
      </c>
      <c r="K338">
        <v>165</v>
      </c>
      <c r="L338">
        <v>118.9</v>
      </c>
      <c r="M338">
        <v>186.6</v>
      </c>
      <c r="N338">
        <v>173.2</v>
      </c>
      <c r="O338">
        <v>180.4</v>
      </c>
      <c r="P338">
        <v>170.8</v>
      </c>
      <c r="Q338">
        <v>192.9</v>
      </c>
      <c r="R338">
        <v>179.3</v>
      </c>
      <c r="S338">
        <v>177.2</v>
      </c>
      <c r="T338">
        <v>179</v>
      </c>
      <c r="U338" t="s">
        <v>32</v>
      </c>
      <c r="V338">
        <v>175.3</v>
      </c>
      <c r="W338">
        <v>168.9</v>
      </c>
      <c r="X338">
        <v>177.7</v>
      </c>
      <c r="Y338">
        <v>167.1</v>
      </c>
      <c r="Z338">
        <v>167.6</v>
      </c>
      <c r="AA338">
        <v>171.8</v>
      </c>
      <c r="AB338">
        <v>168.5</v>
      </c>
      <c r="AC338">
        <v>170.9</v>
      </c>
      <c r="AD338">
        <v>172.5</v>
      </c>
    </row>
    <row r="339" spans="1:30" x14ac:dyDescent="0.3">
      <c r="A339" t="s">
        <v>33</v>
      </c>
      <c r="B339">
        <v>2022</v>
      </c>
      <c r="C339" t="s">
        <v>38</v>
      </c>
      <c r="D339">
        <v>156.69999999999999</v>
      </c>
      <c r="E339">
        <v>221.2</v>
      </c>
      <c r="F339">
        <v>164.1</v>
      </c>
      <c r="G339">
        <v>165.4</v>
      </c>
      <c r="H339">
        <v>189.5</v>
      </c>
      <c r="I339">
        <v>174.5</v>
      </c>
      <c r="J339">
        <v>203.2</v>
      </c>
      <c r="K339">
        <v>164.1</v>
      </c>
      <c r="L339">
        <v>121.2</v>
      </c>
      <c r="M339">
        <v>181.4</v>
      </c>
      <c r="N339">
        <v>158.5</v>
      </c>
      <c r="O339">
        <v>184.9</v>
      </c>
      <c r="P339">
        <v>177.5</v>
      </c>
      <c r="Q339">
        <v>197.5</v>
      </c>
      <c r="R339">
        <v>170</v>
      </c>
      <c r="S339">
        <v>155.9</v>
      </c>
      <c r="T339">
        <v>167.8</v>
      </c>
      <c r="U339">
        <v>167.5</v>
      </c>
      <c r="V339">
        <v>173.5</v>
      </c>
      <c r="W339">
        <v>161.1</v>
      </c>
      <c r="X339">
        <v>170.1</v>
      </c>
      <c r="Y339">
        <v>159.4</v>
      </c>
      <c r="Z339">
        <v>163.19999999999999</v>
      </c>
      <c r="AA339">
        <v>165.2</v>
      </c>
      <c r="AB339">
        <v>168.2</v>
      </c>
      <c r="AC339">
        <v>163.80000000000001</v>
      </c>
      <c r="AD339">
        <v>170.8</v>
      </c>
    </row>
    <row r="340" spans="1:30" x14ac:dyDescent="0.3">
      <c r="A340" t="s">
        <v>34</v>
      </c>
      <c r="B340">
        <v>2022</v>
      </c>
      <c r="C340" t="s">
        <v>38</v>
      </c>
      <c r="D340">
        <v>154.1</v>
      </c>
      <c r="E340">
        <v>217</v>
      </c>
      <c r="F340">
        <v>162.4</v>
      </c>
      <c r="G340">
        <v>164.9</v>
      </c>
      <c r="H340">
        <v>202.4</v>
      </c>
      <c r="I340">
        <v>171</v>
      </c>
      <c r="J340">
        <v>174.9</v>
      </c>
      <c r="K340">
        <v>164.7</v>
      </c>
      <c r="L340">
        <v>119.7</v>
      </c>
      <c r="M340">
        <v>184.9</v>
      </c>
      <c r="N340">
        <v>167.1</v>
      </c>
      <c r="O340">
        <v>182.5</v>
      </c>
      <c r="P340">
        <v>173.3</v>
      </c>
      <c r="Q340">
        <v>194.1</v>
      </c>
      <c r="R340">
        <v>175.6</v>
      </c>
      <c r="S340">
        <v>168.4</v>
      </c>
      <c r="T340">
        <v>174.6</v>
      </c>
      <c r="U340">
        <v>167.5</v>
      </c>
      <c r="V340">
        <v>174.6</v>
      </c>
      <c r="W340">
        <v>165.2</v>
      </c>
      <c r="X340">
        <v>174.8</v>
      </c>
      <c r="Y340">
        <v>163</v>
      </c>
      <c r="Z340">
        <v>165.1</v>
      </c>
      <c r="AA340">
        <v>167.9</v>
      </c>
      <c r="AB340">
        <v>168.4</v>
      </c>
      <c r="AC340">
        <v>167.5</v>
      </c>
      <c r="AD340">
        <v>171.7</v>
      </c>
    </row>
    <row r="341" spans="1:30" x14ac:dyDescent="0.3">
      <c r="A341" t="s">
        <v>30</v>
      </c>
      <c r="B341">
        <v>2022</v>
      </c>
      <c r="C341" t="s">
        <v>39</v>
      </c>
      <c r="D341">
        <v>153.80000000000001</v>
      </c>
      <c r="E341">
        <v>217.2</v>
      </c>
      <c r="F341">
        <v>169.6</v>
      </c>
      <c r="G341">
        <v>165.4</v>
      </c>
      <c r="H341">
        <v>208.1</v>
      </c>
      <c r="I341">
        <v>165.8</v>
      </c>
      <c r="J341">
        <v>167.3</v>
      </c>
      <c r="K341">
        <v>164.6</v>
      </c>
      <c r="L341">
        <v>119.1</v>
      </c>
      <c r="M341">
        <v>188.9</v>
      </c>
      <c r="N341">
        <v>174.2</v>
      </c>
      <c r="O341">
        <v>181.9</v>
      </c>
      <c r="P341">
        <v>172.4</v>
      </c>
      <c r="Q341">
        <v>192.9</v>
      </c>
      <c r="R341">
        <v>180.7</v>
      </c>
      <c r="S341">
        <v>178.7</v>
      </c>
      <c r="T341">
        <v>180.4</v>
      </c>
      <c r="U341" t="s">
        <v>32</v>
      </c>
      <c r="V341">
        <v>176.7</v>
      </c>
      <c r="W341">
        <v>170.3</v>
      </c>
      <c r="X341">
        <v>178.2</v>
      </c>
      <c r="Y341">
        <v>165.5</v>
      </c>
      <c r="Z341">
        <v>168</v>
      </c>
      <c r="AA341">
        <v>172.6</v>
      </c>
      <c r="AB341">
        <v>169.5</v>
      </c>
      <c r="AC341">
        <v>171</v>
      </c>
      <c r="AD341">
        <v>173.6</v>
      </c>
    </row>
    <row r="342" spans="1:30" x14ac:dyDescent="0.3">
      <c r="A342" t="s">
        <v>33</v>
      </c>
      <c r="B342">
        <v>2022</v>
      </c>
      <c r="C342" t="s">
        <v>39</v>
      </c>
      <c r="D342">
        <v>157.5</v>
      </c>
      <c r="E342">
        <v>223.4</v>
      </c>
      <c r="F342">
        <v>172.8</v>
      </c>
      <c r="G342">
        <v>166.4</v>
      </c>
      <c r="H342">
        <v>188.6</v>
      </c>
      <c r="I342">
        <v>174.1</v>
      </c>
      <c r="J342">
        <v>211.5</v>
      </c>
      <c r="K342">
        <v>163.6</v>
      </c>
      <c r="L342">
        <v>121.4</v>
      </c>
      <c r="M342">
        <v>183.5</v>
      </c>
      <c r="N342">
        <v>159.1</v>
      </c>
      <c r="O342">
        <v>186.3</v>
      </c>
      <c r="P342">
        <v>179.3</v>
      </c>
      <c r="Q342">
        <v>198.3</v>
      </c>
      <c r="R342">
        <v>171.6</v>
      </c>
      <c r="S342">
        <v>157.4</v>
      </c>
      <c r="T342">
        <v>169.4</v>
      </c>
      <c r="U342">
        <v>166.8</v>
      </c>
      <c r="V342">
        <v>174.9</v>
      </c>
      <c r="W342">
        <v>162.1</v>
      </c>
      <c r="X342">
        <v>170.9</v>
      </c>
      <c r="Y342">
        <v>157.19999999999999</v>
      </c>
      <c r="Z342">
        <v>164.1</v>
      </c>
      <c r="AA342">
        <v>166.5</v>
      </c>
      <c r="AB342">
        <v>169.2</v>
      </c>
      <c r="AC342">
        <v>163.80000000000001</v>
      </c>
      <c r="AD342">
        <v>171.4</v>
      </c>
    </row>
    <row r="343" spans="1:30" x14ac:dyDescent="0.3">
      <c r="A343" t="s">
        <v>34</v>
      </c>
      <c r="B343">
        <v>2022</v>
      </c>
      <c r="C343" t="s">
        <v>39</v>
      </c>
      <c r="D343">
        <v>155</v>
      </c>
      <c r="E343">
        <v>219.4</v>
      </c>
      <c r="F343">
        <v>170.8</v>
      </c>
      <c r="G343">
        <v>165.8</v>
      </c>
      <c r="H343">
        <v>200.9</v>
      </c>
      <c r="I343">
        <v>169.7</v>
      </c>
      <c r="J343">
        <v>182.3</v>
      </c>
      <c r="K343">
        <v>164.3</v>
      </c>
      <c r="L343">
        <v>119.9</v>
      </c>
      <c r="M343">
        <v>187.1</v>
      </c>
      <c r="N343">
        <v>167.9</v>
      </c>
      <c r="O343">
        <v>183.9</v>
      </c>
      <c r="P343">
        <v>174.9</v>
      </c>
      <c r="Q343">
        <v>194.3</v>
      </c>
      <c r="R343">
        <v>177.1</v>
      </c>
      <c r="S343">
        <v>169.9</v>
      </c>
      <c r="T343">
        <v>176</v>
      </c>
      <c r="U343">
        <v>166.8</v>
      </c>
      <c r="V343">
        <v>176</v>
      </c>
      <c r="W343">
        <v>166.4</v>
      </c>
      <c r="X343">
        <v>175.4</v>
      </c>
      <c r="Y343">
        <v>161.1</v>
      </c>
      <c r="Z343">
        <v>165.8</v>
      </c>
      <c r="AA343">
        <v>169</v>
      </c>
      <c r="AB343">
        <v>169.4</v>
      </c>
      <c r="AC343">
        <v>167.5</v>
      </c>
      <c r="AD343">
        <v>172.6</v>
      </c>
    </row>
    <row r="344" spans="1:30" x14ac:dyDescent="0.3">
      <c r="A344" t="s">
        <v>30</v>
      </c>
      <c r="B344">
        <v>2022</v>
      </c>
      <c r="C344" t="s">
        <v>40</v>
      </c>
      <c r="D344">
        <v>155.19999999999999</v>
      </c>
      <c r="E344">
        <v>210.8</v>
      </c>
      <c r="F344">
        <v>174.3</v>
      </c>
      <c r="G344">
        <v>166.3</v>
      </c>
      <c r="H344">
        <v>202.2</v>
      </c>
      <c r="I344">
        <v>169.6</v>
      </c>
      <c r="J344">
        <v>168.6</v>
      </c>
      <c r="K344">
        <v>164.4</v>
      </c>
      <c r="L344">
        <v>119.2</v>
      </c>
      <c r="M344">
        <v>191.8</v>
      </c>
      <c r="N344">
        <v>174.5</v>
      </c>
      <c r="O344">
        <v>183.1</v>
      </c>
      <c r="P344">
        <v>172.5</v>
      </c>
      <c r="Q344">
        <v>193.2</v>
      </c>
      <c r="R344">
        <v>182</v>
      </c>
      <c r="S344">
        <v>180.3</v>
      </c>
      <c r="T344">
        <v>181.7</v>
      </c>
      <c r="U344" t="s">
        <v>32</v>
      </c>
      <c r="V344">
        <v>179.6</v>
      </c>
      <c r="W344">
        <v>171.3</v>
      </c>
      <c r="X344">
        <v>178.8</v>
      </c>
      <c r="Y344">
        <v>166.3</v>
      </c>
      <c r="Z344">
        <v>168.6</v>
      </c>
      <c r="AA344">
        <v>174.7</v>
      </c>
      <c r="AB344">
        <v>169.7</v>
      </c>
      <c r="AC344">
        <v>171.8</v>
      </c>
      <c r="AD344">
        <v>174.3</v>
      </c>
    </row>
    <row r="345" spans="1:30" x14ac:dyDescent="0.3">
      <c r="A345" t="s">
        <v>33</v>
      </c>
      <c r="B345">
        <v>2022</v>
      </c>
      <c r="C345" t="s">
        <v>40</v>
      </c>
      <c r="D345">
        <v>159.30000000000001</v>
      </c>
      <c r="E345">
        <v>217.1</v>
      </c>
      <c r="F345">
        <v>176.6</v>
      </c>
      <c r="G345">
        <v>167.1</v>
      </c>
      <c r="H345">
        <v>184.8</v>
      </c>
      <c r="I345">
        <v>179.5</v>
      </c>
      <c r="J345">
        <v>208.5</v>
      </c>
      <c r="K345">
        <v>164</v>
      </c>
      <c r="L345">
        <v>121.5</v>
      </c>
      <c r="M345">
        <v>186.3</v>
      </c>
      <c r="N345">
        <v>159.80000000000001</v>
      </c>
      <c r="O345">
        <v>187.7</v>
      </c>
      <c r="P345">
        <v>179.4</v>
      </c>
      <c r="Q345">
        <v>198.6</v>
      </c>
      <c r="R345">
        <v>172.7</v>
      </c>
      <c r="S345">
        <v>158.69999999999999</v>
      </c>
      <c r="T345">
        <v>170.6</v>
      </c>
      <c r="U345">
        <v>167.8</v>
      </c>
      <c r="V345">
        <v>179.5</v>
      </c>
      <c r="W345">
        <v>163.1</v>
      </c>
      <c r="X345">
        <v>171.7</v>
      </c>
      <c r="Y345">
        <v>157.4</v>
      </c>
      <c r="Z345">
        <v>164.6</v>
      </c>
      <c r="AA345">
        <v>169.1</v>
      </c>
      <c r="AB345">
        <v>169.8</v>
      </c>
      <c r="AC345">
        <v>164.7</v>
      </c>
      <c r="AD345">
        <v>172.3</v>
      </c>
    </row>
    <row r="346" spans="1:30" x14ac:dyDescent="0.3">
      <c r="A346" t="s">
        <v>34</v>
      </c>
      <c r="B346">
        <v>2022</v>
      </c>
      <c r="C346" t="s">
        <v>40</v>
      </c>
      <c r="D346">
        <v>156.5</v>
      </c>
      <c r="E346">
        <v>213</v>
      </c>
      <c r="F346">
        <v>175.2</v>
      </c>
      <c r="G346">
        <v>166.6</v>
      </c>
      <c r="H346">
        <v>195.8</v>
      </c>
      <c r="I346">
        <v>174.2</v>
      </c>
      <c r="J346">
        <v>182.1</v>
      </c>
      <c r="K346">
        <v>164.3</v>
      </c>
      <c r="L346">
        <v>120</v>
      </c>
      <c r="M346">
        <v>190</v>
      </c>
      <c r="N346">
        <v>168.4</v>
      </c>
      <c r="O346">
        <v>185.2</v>
      </c>
      <c r="P346">
        <v>175</v>
      </c>
      <c r="Q346">
        <v>194.6</v>
      </c>
      <c r="R346">
        <v>178.3</v>
      </c>
      <c r="S346">
        <v>171.3</v>
      </c>
      <c r="T346">
        <v>177.3</v>
      </c>
      <c r="U346">
        <v>167.8</v>
      </c>
      <c r="V346">
        <v>179.6</v>
      </c>
      <c r="W346">
        <v>167.4</v>
      </c>
      <c r="X346">
        <v>176.1</v>
      </c>
      <c r="Y346">
        <v>161.6</v>
      </c>
      <c r="Z346">
        <v>166.3</v>
      </c>
      <c r="AA346">
        <v>171.4</v>
      </c>
      <c r="AB346">
        <v>169.7</v>
      </c>
      <c r="AC346">
        <v>168.4</v>
      </c>
      <c r="AD346">
        <v>173.4</v>
      </c>
    </row>
    <row r="347" spans="1:30" x14ac:dyDescent="0.3">
      <c r="A347" t="s">
        <v>30</v>
      </c>
      <c r="B347">
        <v>2022</v>
      </c>
      <c r="C347" t="s">
        <v>41</v>
      </c>
      <c r="D347">
        <v>159.5</v>
      </c>
      <c r="E347">
        <v>204.1</v>
      </c>
      <c r="F347">
        <v>168.3</v>
      </c>
      <c r="G347">
        <v>167.9</v>
      </c>
      <c r="H347">
        <v>198.1</v>
      </c>
      <c r="I347">
        <v>169.2</v>
      </c>
      <c r="J347">
        <v>173.1</v>
      </c>
      <c r="K347">
        <v>167.1</v>
      </c>
      <c r="L347">
        <v>120.2</v>
      </c>
      <c r="M347">
        <v>195.6</v>
      </c>
      <c r="N347">
        <v>174.8</v>
      </c>
      <c r="O347">
        <v>184</v>
      </c>
      <c r="P347">
        <v>173.9</v>
      </c>
      <c r="Q347">
        <v>193.7</v>
      </c>
      <c r="R347">
        <v>183.2</v>
      </c>
      <c r="S347">
        <v>181.7</v>
      </c>
      <c r="T347">
        <v>183</v>
      </c>
      <c r="U347" t="s">
        <v>32</v>
      </c>
      <c r="V347">
        <v>179.1</v>
      </c>
      <c r="W347">
        <v>172.3</v>
      </c>
      <c r="X347">
        <v>179.4</v>
      </c>
      <c r="Y347">
        <v>166.6</v>
      </c>
      <c r="Z347">
        <v>169.3</v>
      </c>
      <c r="AA347">
        <v>175.7</v>
      </c>
      <c r="AB347">
        <v>171.1</v>
      </c>
      <c r="AC347">
        <v>172.6</v>
      </c>
      <c r="AD347">
        <v>175.3</v>
      </c>
    </row>
    <row r="348" spans="1:30" x14ac:dyDescent="0.3">
      <c r="A348" t="s">
        <v>33</v>
      </c>
      <c r="B348">
        <v>2022</v>
      </c>
      <c r="C348" t="s">
        <v>41</v>
      </c>
      <c r="D348">
        <v>162.1</v>
      </c>
      <c r="E348">
        <v>210.9</v>
      </c>
      <c r="F348">
        <v>170.6</v>
      </c>
      <c r="G348">
        <v>168.4</v>
      </c>
      <c r="H348">
        <v>182.5</v>
      </c>
      <c r="I348">
        <v>177.1</v>
      </c>
      <c r="J348">
        <v>213.1</v>
      </c>
      <c r="K348">
        <v>167.3</v>
      </c>
      <c r="L348">
        <v>122.2</v>
      </c>
      <c r="M348">
        <v>189.7</v>
      </c>
      <c r="N348">
        <v>160.5</v>
      </c>
      <c r="O348">
        <v>188.9</v>
      </c>
      <c r="P348">
        <v>180.4</v>
      </c>
      <c r="Q348">
        <v>198.7</v>
      </c>
      <c r="R348">
        <v>173.7</v>
      </c>
      <c r="S348">
        <v>160</v>
      </c>
      <c r="T348">
        <v>171.6</v>
      </c>
      <c r="U348">
        <v>169</v>
      </c>
      <c r="V348">
        <v>178.4</v>
      </c>
      <c r="W348">
        <v>164.2</v>
      </c>
      <c r="X348">
        <v>172.6</v>
      </c>
      <c r="Y348">
        <v>157.69999999999999</v>
      </c>
      <c r="Z348">
        <v>165.1</v>
      </c>
      <c r="AA348">
        <v>169.9</v>
      </c>
      <c r="AB348">
        <v>171.4</v>
      </c>
      <c r="AC348">
        <v>165.4</v>
      </c>
      <c r="AD348">
        <v>173.1</v>
      </c>
    </row>
    <row r="349" spans="1:30" x14ac:dyDescent="0.3">
      <c r="A349" t="s">
        <v>34</v>
      </c>
      <c r="B349">
        <v>2022</v>
      </c>
      <c r="C349" t="s">
        <v>41</v>
      </c>
      <c r="D349">
        <v>160.30000000000001</v>
      </c>
      <c r="E349">
        <v>206.5</v>
      </c>
      <c r="F349">
        <v>169.2</v>
      </c>
      <c r="G349">
        <v>168.1</v>
      </c>
      <c r="H349">
        <v>192.4</v>
      </c>
      <c r="I349">
        <v>172.9</v>
      </c>
      <c r="J349">
        <v>186.7</v>
      </c>
      <c r="K349">
        <v>167.2</v>
      </c>
      <c r="L349">
        <v>120.9</v>
      </c>
      <c r="M349">
        <v>193.6</v>
      </c>
      <c r="N349">
        <v>168.8</v>
      </c>
      <c r="O349">
        <v>186.3</v>
      </c>
      <c r="P349">
        <v>176.3</v>
      </c>
      <c r="Q349">
        <v>195</v>
      </c>
      <c r="R349">
        <v>179.5</v>
      </c>
      <c r="S349">
        <v>172.7</v>
      </c>
      <c r="T349">
        <v>178.5</v>
      </c>
      <c r="U349">
        <v>169</v>
      </c>
      <c r="V349">
        <v>178.8</v>
      </c>
      <c r="W349">
        <v>168.5</v>
      </c>
      <c r="X349">
        <v>176.8</v>
      </c>
      <c r="Y349">
        <v>161.9</v>
      </c>
      <c r="Z349">
        <v>166.9</v>
      </c>
      <c r="AA349">
        <v>172.3</v>
      </c>
      <c r="AB349">
        <v>171.2</v>
      </c>
      <c r="AC349">
        <v>169.1</v>
      </c>
      <c r="AD349">
        <v>174.3</v>
      </c>
    </row>
    <row r="350" spans="1:30" x14ac:dyDescent="0.3">
      <c r="A350" t="s">
        <v>30</v>
      </c>
      <c r="B350">
        <v>2022</v>
      </c>
      <c r="C350" t="s">
        <v>42</v>
      </c>
      <c r="D350">
        <v>162.9</v>
      </c>
      <c r="E350">
        <v>206.7</v>
      </c>
      <c r="F350">
        <v>169</v>
      </c>
      <c r="G350">
        <v>169.5</v>
      </c>
      <c r="H350">
        <v>194.1</v>
      </c>
      <c r="I350">
        <v>164.1</v>
      </c>
      <c r="J350">
        <v>176.9</v>
      </c>
      <c r="K350">
        <v>169</v>
      </c>
      <c r="L350">
        <v>120.8</v>
      </c>
      <c r="M350">
        <v>199.1</v>
      </c>
      <c r="N350">
        <v>175.4</v>
      </c>
      <c r="O350">
        <v>184.8</v>
      </c>
      <c r="P350">
        <v>175.5</v>
      </c>
      <c r="Q350">
        <v>194.5</v>
      </c>
      <c r="R350">
        <v>184.7</v>
      </c>
      <c r="S350">
        <v>183.3</v>
      </c>
      <c r="T350">
        <v>184.5</v>
      </c>
      <c r="U350" t="s">
        <v>32</v>
      </c>
      <c r="V350">
        <v>179.7</v>
      </c>
      <c r="W350">
        <v>173.6</v>
      </c>
      <c r="X350">
        <v>180.2</v>
      </c>
      <c r="Y350">
        <v>166.9</v>
      </c>
      <c r="Z350">
        <v>170</v>
      </c>
      <c r="AA350">
        <v>176.2</v>
      </c>
      <c r="AB350">
        <v>170.8</v>
      </c>
      <c r="AC350">
        <v>173.1</v>
      </c>
      <c r="AD350">
        <v>176.4</v>
      </c>
    </row>
    <row r="351" spans="1:30" x14ac:dyDescent="0.3">
      <c r="A351" t="s">
        <v>33</v>
      </c>
      <c r="B351">
        <v>2022</v>
      </c>
      <c r="C351" t="s">
        <v>42</v>
      </c>
      <c r="D351">
        <v>164.9</v>
      </c>
      <c r="E351">
        <v>213.7</v>
      </c>
      <c r="F351">
        <v>170.9</v>
      </c>
      <c r="G351">
        <v>170.1</v>
      </c>
      <c r="H351">
        <v>179.3</v>
      </c>
      <c r="I351">
        <v>167.5</v>
      </c>
      <c r="J351">
        <v>220.8</v>
      </c>
      <c r="K351">
        <v>169.2</v>
      </c>
      <c r="L351">
        <v>123.1</v>
      </c>
      <c r="M351">
        <v>193.6</v>
      </c>
      <c r="N351">
        <v>161.1</v>
      </c>
      <c r="O351">
        <v>190.4</v>
      </c>
      <c r="P351">
        <v>181.8</v>
      </c>
      <c r="Q351">
        <v>199.7</v>
      </c>
      <c r="R351">
        <v>175</v>
      </c>
      <c r="S351">
        <v>161.69999999999999</v>
      </c>
      <c r="T351">
        <v>173</v>
      </c>
      <c r="U351">
        <v>169.5</v>
      </c>
      <c r="V351">
        <v>179.2</v>
      </c>
      <c r="W351">
        <v>165</v>
      </c>
      <c r="X351">
        <v>173.8</v>
      </c>
      <c r="Y351">
        <v>158.19999999999999</v>
      </c>
      <c r="Z351">
        <v>165.8</v>
      </c>
      <c r="AA351">
        <v>170.9</v>
      </c>
      <c r="AB351">
        <v>171.1</v>
      </c>
      <c r="AC351">
        <v>166.1</v>
      </c>
      <c r="AD351">
        <v>174.1</v>
      </c>
    </row>
    <row r="352" spans="1:30" x14ac:dyDescent="0.3">
      <c r="A352" t="s">
        <v>34</v>
      </c>
      <c r="B352">
        <v>2022</v>
      </c>
      <c r="C352" t="s">
        <v>42</v>
      </c>
      <c r="D352">
        <v>163.5</v>
      </c>
      <c r="E352">
        <v>209.2</v>
      </c>
      <c r="F352">
        <v>169.7</v>
      </c>
      <c r="G352">
        <v>169.7</v>
      </c>
      <c r="H352">
        <v>188.7</v>
      </c>
      <c r="I352">
        <v>165.7</v>
      </c>
      <c r="J352">
        <v>191.8</v>
      </c>
      <c r="K352">
        <v>169.1</v>
      </c>
      <c r="L352">
        <v>121.6</v>
      </c>
      <c r="M352">
        <v>197.3</v>
      </c>
      <c r="N352">
        <v>169.4</v>
      </c>
      <c r="O352">
        <v>187.4</v>
      </c>
      <c r="P352">
        <v>177.8</v>
      </c>
      <c r="Q352">
        <v>195.9</v>
      </c>
      <c r="R352">
        <v>180.9</v>
      </c>
      <c r="S352">
        <v>174.3</v>
      </c>
      <c r="T352">
        <v>179.9</v>
      </c>
      <c r="U352">
        <v>169.5</v>
      </c>
      <c r="V352">
        <v>179.5</v>
      </c>
      <c r="W352">
        <v>169.5</v>
      </c>
      <c r="X352">
        <v>177.8</v>
      </c>
      <c r="Y352">
        <v>162.30000000000001</v>
      </c>
      <c r="Z352">
        <v>167.6</v>
      </c>
      <c r="AA352">
        <v>173.1</v>
      </c>
      <c r="AB352">
        <v>170.9</v>
      </c>
      <c r="AC352">
        <v>169.7</v>
      </c>
      <c r="AD352">
        <v>175.3</v>
      </c>
    </row>
    <row r="353" spans="1:30" x14ac:dyDescent="0.3">
      <c r="A353" t="s">
        <v>30</v>
      </c>
      <c r="B353">
        <v>2022</v>
      </c>
      <c r="C353" t="s">
        <v>43</v>
      </c>
      <c r="D353">
        <v>164.7</v>
      </c>
      <c r="E353">
        <v>208.8</v>
      </c>
      <c r="F353">
        <v>170.3</v>
      </c>
      <c r="G353">
        <v>170.9</v>
      </c>
      <c r="H353">
        <v>191.6</v>
      </c>
      <c r="I353">
        <v>162.19999999999999</v>
      </c>
      <c r="J353">
        <v>184.8</v>
      </c>
      <c r="K353">
        <v>169.7</v>
      </c>
      <c r="L353">
        <v>121.1</v>
      </c>
      <c r="M353">
        <v>201.6</v>
      </c>
      <c r="N353">
        <v>175.8</v>
      </c>
      <c r="O353">
        <v>185.6</v>
      </c>
      <c r="P353">
        <v>177.4</v>
      </c>
      <c r="Q353">
        <v>194.9</v>
      </c>
      <c r="R353">
        <v>186.1</v>
      </c>
      <c r="S353">
        <v>184.4</v>
      </c>
      <c r="T353">
        <v>185.9</v>
      </c>
      <c r="U353" t="s">
        <v>32</v>
      </c>
      <c r="V353">
        <v>180.8</v>
      </c>
      <c r="W353">
        <v>174.4</v>
      </c>
      <c r="X353">
        <v>181.2</v>
      </c>
      <c r="Y353">
        <v>167.4</v>
      </c>
      <c r="Z353">
        <v>170.6</v>
      </c>
      <c r="AA353">
        <v>176.5</v>
      </c>
      <c r="AB353">
        <v>172</v>
      </c>
      <c r="AC353">
        <v>173.9</v>
      </c>
      <c r="AD353">
        <v>177.9</v>
      </c>
    </row>
    <row r="354" spans="1:30" x14ac:dyDescent="0.3">
      <c r="A354" t="s">
        <v>33</v>
      </c>
      <c r="B354">
        <v>2022</v>
      </c>
      <c r="C354" t="s">
        <v>43</v>
      </c>
      <c r="D354">
        <v>166.4</v>
      </c>
      <c r="E354">
        <v>214.9</v>
      </c>
      <c r="F354">
        <v>171.9</v>
      </c>
      <c r="G354">
        <v>171</v>
      </c>
      <c r="H354">
        <v>177.7</v>
      </c>
      <c r="I354">
        <v>165.7</v>
      </c>
      <c r="J354">
        <v>228.6</v>
      </c>
      <c r="K354">
        <v>169.9</v>
      </c>
      <c r="L354">
        <v>123.4</v>
      </c>
      <c r="M354">
        <v>196.4</v>
      </c>
      <c r="N354">
        <v>161.6</v>
      </c>
      <c r="O354">
        <v>191.5</v>
      </c>
      <c r="P354">
        <v>183.3</v>
      </c>
      <c r="Q354">
        <v>200.1</v>
      </c>
      <c r="R354">
        <v>175.5</v>
      </c>
      <c r="S354">
        <v>162.6</v>
      </c>
      <c r="T354">
        <v>173.6</v>
      </c>
      <c r="U354">
        <v>171.2</v>
      </c>
      <c r="V354">
        <v>180</v>
      </c>
      <c r="W354">
        <v>166</v>
      </c>
      <c r="X354">
        <v>174.7</v>
      </c>
      <c r="Y354">
        <v>158.80000000000001</v>
      </c>
      <c r="Z354">
        <v>166.3</v>
      </c>
      <c r="AA354">
        <v>171.2</v>
      </c>
      <c r="AB354">
        <v>172.3</v>
      </c>
      <c r="AC354">
        <v>166.8</v>
      </c>
      <c r="AD354">
        <v>175.3</v>
      </c>
    </row>
    <row r="355" spans="1:30" x14ac:dyDescent="0.3">
      <c r="A355" t="s">
        <v>34</v>
      </c>
      <c r="B355">
        <v>2022</v>
      </c>
      <c r="C355" t="s">
        <v>43</v>
      </c>
      <c r="D355">
        <v>165.2</v>
      </c>
      <c r="E355">
        <v>210.9</v>
      </c>
      <c r="F355">
        <v>170.9</v>
      </c>
      <c r="G355">
        <v>170.9</v>
      </c>
      <c r="H355">
        <v>186.5</v>
      </c>
      <c r="I355">
        <v>163.80000000000001</v>
      </c>
      <c r="J355">
        <v>199.7</v>
      </c>
      <c r="K355">
        <v>169.8</v>
      </c>
      <c r="L355">
        <v>121.9</v>
      </c>
      <c r="M355">
        <v>199.9</v>
      </c>
      <c r="N355">
        <v>169.9</v>
      </c>
      <c r="O355">
        <v>188.3</v>
      </c>
      <c r="P355">
        <v>179.6</v>
      </c>
      <c r="Q355">
        <v>196.3</v>
      </c>
      <c r="R355">
        <v>181.9</v>
      </c>
      <c r="S355">
        <v>175.3</v>
      </c>
      <c r="T355">
        <v>181</v>
      </c>
      <c r="U355">
        <v>171.2</v>
      </c>
      <c r="V355">
        <v>180.5</v>
      </c>
      <c r="W355">
        <v>170.4</v>
      </c>
      <c r="X355">
        <v>178.7</v>
      </c>
      <c r="Y355">
        <v>162.9</v>
      </c>
      <c r="Z355">
        <v>168.2</v>
      </c>
      <c r="AA355">
        <v>173.4</v>
      </c>
      <c r="AB355">
        <v>172.1</v>
      </c>
      <c r="AC355">
        <v>170.5</v>
      </c>
      <c r="AD355">
        <v>176.7</v>
      </c>
    </row>
    <row r="356" spans="1:30" x14ac:dyDescent="0.3">
      <c r="A356" t="s">
        <v>30</v>
      </c>
      <c r="B356">
        <v>2022</v>
      </c>
      <c r="C356" t="s">
        <v>44</v>
      </c>
      <c r="D356">
        <v>166.9</v>
      </c>
      <c r="E356">
        <v>207.2</v>
      </c>
      <c r="F356">
        <v>180.2</v>
      </c>
      <c r="G356">
        <v>172.3</v>
      </c>
      <c r="H356">
        <v>194</v>
      </c>
      <c r="I356">
        <v>159.1</v>
      </c>
      <c r="J356">
        <v>171.6</v>
      </c>
      <c r="K356">
        <v>170.2</v>
      </c>
      <c r="L356">
        <v>121.5</v>
      </c>
      <c r="M356">
        <v>204.8</v>
      </c>
      <c r="N356">
        <v>176.4</v>
      </c>
      <c r="O356">
        <v>186.9</v>
      </c>
      <c r="P356">
        <v>176.6</v>
      </c>
      <c r="Q356">
        <v>195.5</v>
      </c>
      <c r="R356">
        <v>187.2</v>
      </c>
      <c r="S356">
        <v>185.2</v>
      </c>
      <c r="T356">
        <v>186.9</v>
      </c>
      <c r="U356" t="s">
        <v>32</v>
      </c>
      <c r="V356">
        <v>181.9</v>
      </c>
      <c r="W356">
        <v>175.5</v>
      </c>
      <c r="X356">
        <v>182.3</v>
      </c>
      <c r="Y356">
        <v>167.5</v>
      </c>
      <c r="Z356">
        <v>170.8</v>
      </c>
      <c r="AA356">
        <v>176.9</v>
      </c>
      <c r="AB356">
        <v>173.4</v>
      </c>
      <c r="AC356">
        <v>174.6</v>
      </c>
      <c r="AD356">
        <v>177.8</v>
      </c>
    </row>
    <row r="357" spans="1:30" x14ac:dyDescent="0.3">
      <c r="A357" t="s">
        <v>33</v>
      </c>
      <c r="B357">
        <v>2022</v>
      </c>
      <c r="C357" t="s">
        <v>44</v>
      </c>
      <c r="D357">
        <v>168.4</v>
      </c>
      <c r="E357">
        <v>213.4</v>
      </c>
      <c r="F357">
        <v>183.2</v>
      </c>
      <c r="G357">
        <v>172.3</v>
      </c>
      <c r="H357">
        <v>180</v>
      </c>
      <c r="I357">
        <v>162.6</v>
      </c>
      <c r="J357">
        <v>205.5</v>
      </c>
      <c r="K357">
        <v>171</v>
      </c>
      <c r="L357">
        <v>123.4</v>
      </c>
      <c r="M357">
        <v>198.8</v>
      </c>
      <c r="N357">
        <v>162.1</v>
      </c>
      <c r="O357">
        <v>192.4</v>
      </c>
      <c r="P357">
        <v>181.3</v>
      </c>
      <c r="Q357">
        <v>200.6</v>
      </c>
      <c r="R357">
        <v>176.7</v>
      </c>
      <c r="S357">
        <v>163.5</v>
      </c>
      <c r="T357">
        <v>174.7</v>
      </c>
      <c r="U357">
        <v>171.8</v>
      </c>
      <c r="V357">
        <v>180.3</v>
      </c>
      <c r="W357">
        <v>166.9</v>
      </c>
      <c r="X357">
        <v>175.8</v>
      </c>
      <c r="Y357">
        <v>158.9</v>
      </c>
      <c r="Z357">
        <v>166.7</v>
      </c>
      <c r="AA357">
        <v>171.5</v>
      </c>
      <c r="AB357">
        <v>173.8</v>
      </c>
      <c r="AC357">
        <v>167.4</v>
      </c>
      <c r="AD357">
        <v>174.1</v>
      </c>
    </row>
    <row r="358" spans="1:30" x14ac:dyDescent="0.3">
      <c r="A358" t="s">
        <v>34</v>
      </c>
      <c r="B358">
        <v>2022</v>
      </c>
      <c r="C358" t="s">
        <v>44</v>
      </c>
      <c r="D358">
        <v>167.4</v>
      </c>
      <c r="E358">
        <v>209.4</v>
      </c>
      <c r="F358">
        <v>181.4</v>
      </c>
      <c r="G358">
        <v>172.3</v>
      </c>
      <c r="H358">
        <v>188.9</v>
      </c>
      <c r="I358">
        <v>160.69999999999999</v>
      </c>
      <c r="J358">
        <v>183.1</v>
      </c>
      <c r="K358">
        <v>170.5</v>
      </c>
      <c r="L358">
        <v>122.1</v>
      </c>
      <c r="M358">
        <v>202.8</v>
      </c>
      <c r="N358">
        <v>170.4</v>
      </c>
      <c r="O358">
        <v>189.5</v>
      </c>
      <c r="P358">
        <v>178.3</v>
      </c>
      <c r="Q358">
        <v>196.9</v>
      </c>
      <c r="R358">
        <v>183.1</v>
      </c>
      <c r="S358">
        <v>176.2</v>
      </c>
      <c r="T358">
        <v>182.1</v>
      </c>
      <c r="U358">
        <v>171.8</v>
      </c>
      <c r="V358">
        <v>181.3</v>
      </c>
      <c r="W358">
        <v>171.4</v>
      </c>
      <c r="X358">
        <v>179.8</v>
      </c>
      <c r="Y358">
        <v>163</v>
      </c>
      <c r="Z358">
        <v>168.5</v>
      </c>
      <c r="AA358">
        <v>173.7</v>
      </c>
      <c r="AB358">
        <v>173.6</v>
      </c>
      <c r="AC358">
        <v>171.1</v>
      </c>
      <c r="AD358">
        <v>176.5</v>
      </c>
    </row>
    <row r="359" spans="1:30" x14ac:dyDescent="0.3">
      <c r="A359" t="s">
        <v>30</v>
      </c>
      <c r="B359">
        <v>2022</v>
      </c>
      <c r="C359" t="s">
        <v>45</v>
      </c>
      <c r="D359">
        <v>168.8</v>
      </c>
      <c r="E359">
        <v>206.9</v>
      </c>
      <c r="F359">
        <v>189.1</v>
      </c>
      <c r="G359">
        <v>173.4</v>
      </c>
      <c r="H359">
        <v>193.9</v>
      </c>
      <c r="I359">
        <v>156.69999999999999</v>
      </c>
      <c r="J359">
        <v>150.19999999999999</v>
      </c>
      <c r="K359">
        <v>170.5</v>
      </c>
      <c r="L359">
        <v>121.2</v>
      </c>
      <c r="M359">
        <v>207.5</v>
      </c>
      <c r="N359">
        <v>176.8</v>
      </c>
      <c r="O359">
        <v>187.7</v>
      </c>
      <c r="P359">
        <v>174.4</v>
      </c>
      <c r="Q359">
        <v>195.9</v>
      </c>
      <c r="R359">
        <v>188.1</v>
      </c>
      <c r="S359">
        <v>185.9</v>
      </c>
      <c r="T359">
        <v>187.8</v>
      </c>
      <c r="U359" t="s">
        <v>32</v>
      </c>
      <c r="V359">
        <v>182.8</v>
      </c>
      <c r="W359">
        <v>176.4</v>
      </c>
      <c r="X359">
        <v>183.5</v>
      </c>
      <c r="Y359">
        <v>167.8</v>
      </c>
      <c r="Z359">
        <v>171.2</v>
      </c>
      <c r="AA359">
        <v>177.3</v>
      </c>
      <c r="AB359">
        <v>175.7</v>
      </c>
      <c r="AC359">
        <v>175.5</v>
      </c>
      <c r="AD359">
        <v>177.1</v>
      </c>
    </row>
    <row r="360" spans="1:30" x14ac:dyDescent="0.3">
      <c r="A360" t="s">
        <v>33</v>
      </c>
      <c r="B360">
        <v>2022</v>
      </c>
      <c r="C360" t="s">
        <v>45</v>
      </c>
      <c r="D360">
        <v>170.2</v>
      </c>
      <c r="E360">
        <v>212.9</v>
      </c>
      <c r="F360">
        <v>191.9</v>
      </c>
      <c r="G360">
        <v>173.9</v>
      </c>
      <c r="H360">
        <v>179.1</v>
      </c>
      <c r="I360">
        <v>159.5</v>
      </c>
      <c r="J360">
        <v>178.7</v>
      </c>
      <c r="K360">
        <v>171.3</v>
      </c>
      <c r="L360">
        <v>123.1</v>
      </c>
      <c r="M360">
        <v>200.5</v>
      </c>
      <c r="N360">
        <v>162.80000000000001</v>
      </c>
      <c r="O360">
        <v>193.3</v>
      </c>
      <c r="P360">
        <v>178.6</v>
      </c>
      <c r="Q360">
        <v>201.1</v>
      </c>
      <c r="R360">
        <v>177.7</v>
      </c>
      <c r="S360">
        <v>164.5</v>
      </c>
      <c r="T360">
        <v>175.7</v>
      </c>
      <c r="U360">
        <v>170.7</v>
      </c>
      <c r="V360">
        <v>180.6</v>
      </c>
      <c r="W360">
        <v>167.3</v>
      </c>
      <c r="X360">
        <v>177.2</v>
      </c>
      <c r="Y360">
        <v>159.4</v>
      </c>
      <c r="Z360">
        <v>167.1</v>
      </c>
      <c r="AA360">
        <v>171.8</v>
      </c>
      <c r="AB360">
        <v>176</v>
      </c>
      <c r="AC360">
        <v>168.2</v>
      </c>
      <c r="AD360">
        <v>174.1</v>
      </c>
    </row>
    <row r="361" spans="1:30" x14ac:dyDescent="0.3">
      <c r="A361" t="s">
        <v>34</v>
      </c>
      <c r="B361">
        <v>2022</v>
      </c>
      <c r="C361" t="s">
        <v>45</v>
      </c>
      <c r="D361">
        <v>169.2</v>
      </c>
      <c r="E361">
        <v>209</v>
      </c>
      <c r="F361">
        <v>190.2</v>
      </c>
      <c r="G361">
        <v>173.6</v>
      </c>
      <c r="H361">
        <v>188.5</v>
      </c>
      <c r="I361">
        <v>158</v>
      </c>
      <c r="J361">
        <v>159.9</v>
      </c>
      <c r="K361">
        <v>170.8</v>
      </c>
      <c r="L361">
        <v>121.8</v>
      </c>
      <c r="M361">
        <v>205.2</v>
      </c>
      <c r="N361">
        <v>171</v>
      </c>
      <c r="O361">
        <v>190.3</v>
      </c>
      <c r="P361">
        <v>175.9</v>
      </c>
      <c r="Q361">
        <v>197.3</v>
      </c>
      <c r="R361">
        <v>184</v>
      </c>
      <c r="S361">
        <v>177</v>
      </c>
      <c r="T361">
        <v>183</v>
      </c>
      <c r="U361">
        <v>170.7</v>
      </c>
      <c r="V361">
        <v>182</v>
      </c>
      <c r="W361">
        <v>172.1</v>
      </c>
      <c r="X361">
        <v>181.1</v>
      </c>
      <c r="Y361">
        <v>163.4</v>
      </c>
      <c r="Z361">
        <v>168.9</v>
      </c>
      <c r="AA361">
        <v>174.1</v>
      </c>
      <c r="AB361">
        <v>175.8</v>
      </c>
      <c r="AC361">
        <v>172</v>
      </c>
      <c r="AD361">
        <v>175.7</v>
      </c>
    </row>
    <row r="362" spans="1:30" x14ac:dyDescent="0.3">
      <c r="A362" t="s">
        <v>30</v>
      </c>
      <c r="B362">
        <v>2023</v>
      </c>
      <c r="C362" t="s">
        <v>31</v>
      </c>
      <c r="D362">
        <v>174</v>
      </c>
      <c r="E362">
        <v>208.3</v>
      </c>
      <c r="F362">
        <v>192.9</v>
      </c>
      <c r="G362">
        <v>174.3</v>
      </c>
      <c r="H362">
        <v>192.6</v>
      </c>
      <c r="I362">
        <v>156.30000000000001</v>
      </c>
      <c r="J362">
        <v>142.9</v>
      </c>
      <c r="K362">
        <v>170.7</v>
      </c>
      <c r="L362">
        <v>120.3</v>
      </c>
      <c r="M362">
        <v>210.5</v>
      </c>
      <c r="N362">
        <v>176.9</v>
      </c>
      <c r="O362">
        <v>188.5</v>
      </c>
      <c r="P362">
        <v>175</v>
      </c>
      <c r="Q362">
        <v>196.9</v>
      </c>
      <c r="R362">
        <v>189</v>
      </c>
      <c r="S362">
        <v>186.3</v>
      </c>
      <c r="T362">
        <v>188.6</v>
      </c>
      <c r="U362" t="s">
        <v>32</v>
      </c>
      <c r="V362">
        <v>183.2</v>
      </c>
      <c r="W362">
        <v>177.2</v>
      </c>
      <c r="X362">
        <v>184.7</v>
      </c>
      <c r="Y362">
        <v>168.2</v>
      </c>
      <c r="Z362">
        <v>171.8</v>
      </c>
      <c r="AA362">
        <v>177.8</v>
      </c>
      <c r="AB362">
        <v>178.4</v>
      </c>
      <c r="AC362">
        <v>176.5</v>
      </c>
      <c r="AD362">
        <v>177.8</v>
      </c>
    </row>
    <row r="363" spans="1:30" x14ac:dyDescent="0.3">
      <c r="A363" t="s">
        <v>33</v>
      </c>
      <c r="B363">
        <v>2023</v>
      </c>
      <c r="C363" t="s">
        <v>31</v>
      </c>
      <c r="D363">
        <v>173.3</v>
      </c>
      <c r="E363">
        <v>215.2</v>
      </c>
      <c r="F363">
        <v>197</v>
      </c>
      <c r="G363">
        <v>175.2</v>
      </c>
      <c r="H363">
        <v>178</v>
      </c>
      <c r="I363">
        <v>160.5</v>
      </c>
      <c r="J363">
        <v>175.3</v>
      </c>
      <c r="K363">
        <v>171.2</v>
      </c>
      <c r="L363">
        <v>122.7</v>
      </c>
      <c r="M363">
        <v>204.3</v>
      </c>
      <c r="N363">
        <v>163.69999999999999</v>
      </c>
      <c r="O363">
        <v>194.3</v>
      </c>
      <c r="P363">
        <v>179.5</v>
      </c>
      <c r="Q363">
        <v>201.6</v>
      </c>
      <c r="R363">
        <v>178.7</v>
      </c>
      <c r="S363">
        <v>165.3</v>
      </c>
      <c r="T363">
        <v>176.6</v>
      </c>
      <c r="U363">
        <v>172.1</v>
      </c>
      <c r="V363">
        <v>180.1</v>
      </c>
      <c r="W363">
        <v>168</v>
      </c>
      <c r="X363">
        <v>178.5</v>
      </c>
      <c r="Y363">
        <v>159.5</v>
      </c>
      <c r="Z363">
        <v>167.8</v>
      </c>
      <c r="AA363">
        <v>171.8</v>
      </c>
      <c r="AB363">
        <v>178.8</v>
      </c>
      <c r="AC363">
        <v>168.9</v>
      </c>
      <c r="AD363">
        <v>174.9</v>
      </c>
    </row>
    <row r="364" spans="1:30" x14ac:dyDescent="0.3">
      <c r="A364" t="s">
        <v>34</v>
      </c>
      <c r="B364">
        <v>2023</v>
      </c>
      <c r="C364" t="s">
        <v>31</v>
      </c>
      <c r="D364">
        <v>173.8</v>
      </c>
      <c r="E364">
        <v>210.7</v>
      </c>
      <c r="F364">
        <v>194.5</v>
      </c>
      <c r="G364">
        <v>174.6</v>
      </c>
      <c r="H364">
        <v>187.2</v>
      </c>
      <c r="I364">
        <v>158.30000000000001</v>
      </c>
      <c r="J364">
        <v>153.9</v>
      </c>
      <c r="K364">
        <v>170.9</v>
      </c>
      <c r="L364">
        <v>121.1</v>
      </c>
      <c r="M364">
        <v>208.4</v>
      </c>
      <c r="N364">
        <v>171.4</v>
      </c>
      <c r="O364">
        <v>191.2</v>
      </c>
      <c r="P364">
        <v>176.7</v>
      </c>
      <c r="Q364">
        <v>198.2</v>
      </c>
      <c r="R364">
        <v>184.9</v>
      </c>
      <c r="S364">
        <v>177.6</v>
      </c>
      <c r="T364">
        <v>183.8</v>
      </c>
      <c r="U364">
        <v>172.1</v>
      </c>
      <c r="V364">
        <v>182</v>
      </c>
      <c r="W364">
        <v>172.9</v>
      </c>
      <c r="X364">
        <v>182.3</v>
      </c>
      <c r="Y364">
        <v>163.6</v>
      </c>
      <c r="Z364">
        <v>169.5</v>
      </c>
      <c r="AA364">
        <v>174.3</v>
      </c>
      <c r="AB364">
        <v>178.6</v>
      </c>
      <c r="AC364">
        <v>172.8</v>
      </c>
      <c r="AD364">
        <v>176.5</v>
      </c>
    </row>
    <row r="365" spans="1:30" x14ac:dyDescent="0.3">
      <c r="A365" t="s">
        <v>30</v>
      </c>
      <c r="B365">
        <v>2023</v>
      </c>
      <c r="C365" t="s">
        <v>35</v>
      </c>
      <c r="D365">
        <v>174.2</v>
      </c>
      <c r="E365">
        <v>205.2</v>
      </c>
      <c r="F365">
        <v>173.9</v>
      </c>
      <c r="G365">
        <v>177</v>
      </c>
      <c r="H365">
        <v>183.4</v>
      </c>
      <c r="I365">
        <v>167.2</v>
      </c>
      <c r="J365">
        <v>140.9</v>
      </c>
      <c r="K365">
        <v>170.4</v>
      </c>
      <c r="L365">
        <v>119.1</v>
      </c>
      <c r="M365">
        <v>212.1</v>
      </c>
      <c r="N365">
        <v>177.6</v>
      </c>
      <c r="O365">
        <v>189.9</v>
      </c>
      <c r="P365">
        <v>174.8</v>
      </c>
      <c r="Q365">
        <v>198.3</v>
      </c>
      <c r="R365">
        <v>190</v>
      </c>
      <c r="S365">
        <v>187</v>
      </c>
      <c r="T365">
        <v>189.6</v>
      </c>
      <c r="U365" t="s">
        <v>32</v>
      </c>
      <c r="V365">
        <v>181.6</v>
      </c>
      <c r="W365">
        <v>178.6</v>
      </c>
      <c r="X365">
        <v>186.6</v>
      </c>
      <c r="Y365">
        <v>169</v>
      </c>
      <c r="Z365">
        <v>172.8</v>
      </c>
      <c r="AA365">
        <v>178.5</v>
      </c>
      <c r="AB365">
        <v>180.7</v>
      </c>
      <c r="AC365">
        <v>177.9</v>
      </c>
      <c r="AD365">
        <v>178</v>
      </c>
    </row>
    <row r="366" spans="1:30" x14ac:dyDescent="0.3">
      <c r="A366" t="s">
        <v>33</v>
      </c>
      <c r="B366">
        <v>2023</v>
      </c>
      <c r="C366" t="s">
        <v>35</v>
      </c>
      <c r="D366">
        <v>174.7</v>
      </c>
      <c r="E366">
        <v>212.2</v>
      </c>
      <c r="F366">
        <v>177.2</v>
      </c>
      <c r="G366">
        <v>177.9</v>
      </c>
      <c r="H366">
        <v>172.2</v>
      </c>
      <c r="I366">
        <v>172.1</v>
      </c>
      <c r="J366">
        <v>175.8</v>
      </c>
      <c r="K366">
        <v>172.2</v>
      </c>
      <c r="L366">
        <v>121.9</v>
      </c>
      <c r="M366">
        <v>204.8</v>
      </c>
      <c r="N366">
        <v>164.9</v>
      </c>
      <c r="O366">
        <v>196.6</v>
      </c>
      <c r="P366">
        <v>180.7</v>
      </c>
      <c r="Q366">
        <v>202.7</v>
      </c>
      <c r="R366">
        <v>180.3</v>
      </c>
      <c r="S366">
        <v>167</v>
      </c>
      <c r="T366">
        <v>178.2</v>
      </c>
      <c r="U366">
        <v>173.5</v>
      </c>
      <c r="V366">
        <v>182.8</v>
      </c>
      <c r="W366">
        <v>169.2</v>
      </c>
      <c r="X366">
        <v>180.8</v>
      </c>
      <c r="Y366">
        <v>159.80000000000001</v>
      </c>
      <c r="Z366">
        <v>168.4</v>
      </c>
      <c r="AA366">
        <v>172.5</v>
      </c>
      <c r="AB366">
        <v>181.4</v>
      </c>
      <c r="AC366">
        <v>170</v>
      </c>
      <c r="AD366">
        <v>176.3</v>
      </c>
    </row>
    <row r="367" spans="1:30" x14ac:dyDescent="0.3">
      <c r="A367" t="s">
        <v>34</v>
      </c>
      <c r="B367">
        <v>2023</v>
      </c>
      <c r="C367" t="s">
        <v>35</v>
      </c>
      <c r="D367">
        <v>174.4</v>
      </c>
      <c r="E367">
        <v>207.7</v>
      </c>
      <c r="F367">
        <v>175.2</v>
      </c>
      <c r="G367">
        <v>177.3</v>
      </c>
      <c r="H367">
        <v>179.3</v>
      </c>
      <c r="I367">
        <v>169.5</v>
      </c>
      <c r="J367">
        <v>152.69999999999999</v>
      </c>
      <c r="K367">
        <v>171</v>
      </c>
      <c r="L367">
        <v>120</v>
      </c>
      <c r="M367">
        <v>209.7</v>
      </c>
      <c r="N367">
        <v>172.3</v>
      </c>
      <c r="O367">
        <v>193</v>
      </c>
      <c r="P367">
        <v>177</v>
      </c>
      <c r="Q367">
        <v>199.5</v>
      </c>
      <c r="R367">
        <v>186.2</v>
      </c>
      <c r="S367">
        <v>178.7</v>
      </c>
      <c r="T367">
        <v>185.1</v>
      </c>
      <c r="U367">
        <v>173.5</v>
      </c>
      <c r="V367">
        <v>182.1</v>
      </c>
      <c r="W367">
        <v>174.2</v>
      </c>
      <c r="X367">
        <v>184.4</v>
      </c>
      <c r="Y367">
        <v>164.2</v>
      </c>
      <c r="Z367">
        <v>170.3</v>
      </c>
      <c r="AA367">
        <v>175</v>
      </c>
      <c r="AB367">
        <v>181</v>
      </c>
      <c r="AC367">
        <v>174.1</v>
      </c>
      <c r="AD367">
        <v>177.2</v>
      </c>
    </row>
    <row r="368" spans="1:30" x14ac:dyDescent="0.3">
      <c r="A368" t="s">
        <v>30</v>
      </c>
      <c r="B368">
        <v>2023</v>
      </c>
      <c r="C368" t="s">
        <v>36</v>
      </c>
      <c r="D368">
        <v>174.3</v>
      </c>
      <c r="E368">
        <v>205.2</v>
      </c>
      <c r="F368">
        <v>173.9</v>
      </c>
      <c r="G368">
        <v>177</v>
      </c>
      <c r="H368">
        <v>183.3</v>
      </c>
      <c r="I368">
        <v>167.2</v>
      </c>
      <c r="J368">
        <v>140.9</v>
      </c>
      <c r="K368">
        <v>170.5</v>
      </c>
      <c r="L368">
        <v>119.1</v>
      </c>
      <c r="M368">
        <v>212.1</v>
      </c>
      <c r="N368">
        <v>177.6</v>
      </c>
      <c r="O368">
        <v>189.9</v>
      </c>
      <c r="P368">
        <v>174.8</v>
      </c>
      <c r="Q368">
        <v>198.4</v>
      </c>
      <c r="R368">
        <v>190</v>
      </c>
      <c r="S368">
        <v>187</v>
      </c>
      <c r="T368">
        <v>189.6</v>
      </c>
      <c r="U368" t="s">
        <v>32</v>
      </c>
      <c r="V368">
        <v>181.4</v>
      </c>
      <c r="W368">
        <v>178.6</v>
      </c>
      <c r="X368">
        <v>186.6</v>
      </c>
      <c r="Y368">
        <v>169</v>
      </c>
      <c r="Z368">
        <v>172.8</v>
      </c>
      <c r="AA368">
        <v>178.5</v>
      </c>
      <c r="AB368">
        <v>180.7</v>
      </c>
      <c r="AC368">
        <v>177.9</v>
      </c>
      <c r="AD368">
        <v>178</v>
      </c>
    </row>
    <row r="369" spans="1:30" x14ac:dyDescent="0.3">
      <c r="A369" t="s">
        <v>33</v>
      </c>
      <c r="B369">
        <v>2023</v>
      </c>
      <c r="C369" t="s">
        <v>36</v>
      </c>
      <c r="D369">
        <v>174.7</v>
      </c>
      <c r="E369">
        <v>212.2</v>
      </c>
      <c r="F369">
        <v>177.2</v>
      </c>
      <c r="G369">
        <v>177.9</v>
      </c>
      <c r="H369">
        <v>172.2</v>
      </c>
      <c r="I369">
        <v>172.1</v>
      </c>
      <c r="J369">
        <v>175.9</v>
      </c>
      <c r="K369">
        <v>172.2</v>
      </c>
      <c r="L369">
        <v>121.9</v>
      </c>
      <c r="M369">
        <v>204.8</v>
      </c>
      <c r="N369">
        <v>164.9</v>
      </c>
      <c r="O369">
        <v>196.6</v>
      </c>
      <c r="P369">
        <v>180.8</v>
      </c>
      <c r="Q369">
        <v>202.7</v>
      </c>
      <c r="R369">
        <v>180.2</v>
      </c>
      <c r="S369">
        <v>167</v>
      </c>
      <c r="T369">
        <v>178.2</v>
      </c>
      <c r="U369">
        <v>173.5</v>
      </c>
      <c r="V369">
        <v>182.6</v>
      </c>
      <c r="W369">
        <v>169.2</v>
      </c>
      <c r="X369">
        <v>180.8</v>
      </c>
      <c r="Y369">
        <v>159.80000000000001</v>
      </c>
      <c r="Z369">
        <v>168.4</v>
      </c>
      <c r="AA369">
        <v>172.5</v>
      </c>
      <c r="AB369">
        <v>181.5</v>
      </c>
      <c r="AC369">
        <v>170</v>
      </c>
      <c r="AD369">
        <v>176.3</v>
      </c>
    </row>
    <row r="370" spans="1:30" x14ac:dyDescent="0.3">
      <c r="A370" t="s">
        <v>34</v>
      </c>
      <c r="B370">
        <v>2023</v>
      </c>
      <c r="C370" t="s">
        <v>36</v>
      </c>
      <c r="D370">
        <v>174.4</v>
      </c>
      <c r="E370">
        <v>207.7</v>
      </c>
      <c r="F370">
        <v>175.2</v>
      </c>
      <c r="G370">
        <v>177.3</v>
      </c>
      <c r="H370">
        <v>179.2</v>
      </c>
      <c r="I370">
        <v>169.5</v>
      </c>
      <c r="J370">
        <v>152.80000000000001</v>
      </c>
      <c r="K370">
        <v>171.1</v>
      </c>
      <c r="L370">
        <v>120</v>
      </c>
      <c r="M370">
        <v>209.7</v>
      </c>
      <c r="N370">
        <v>172.3</v>
      </c>
      <c r="O370">
        <v>193</v>
      </c>
      <c r="P370">
        <v>177</v>
      </c>
      <c r="Q370">
        <v>199.5</v>
      </c>
      <c r="R370">
        <v>186.1</v>
      </c>
      <c r="S370">
        <v>178.7</v>
      </c>
      <c r="T370">
        <v>185.1</v>
      </c>
      <c r="U370">
        <v>173.5</v>
      </c>
      <c r="V370">
        <v>181.9</v>
      </c>
      <c r="W370">
        <v>174.2</v>
      </c>
      <c r="X370">
        <v>184.4</v>
      </c>
      <c r="Y370">
        <v>164.2</v>
      </c>
      <c r="Z370">
        <v>170.3</v>
      </c>
      <c r="AA370">
        <v>175</v>
      </c>
      <c r="AB370">
        <v>181</v>
      </c>
      <c r="AC370">
        <v>174.1</v>
      </c>
      <c r="AD370">
        <v>177.2</v>
      </c>
    </row>
    <row r="371" spans="1:30" x14ac:dyDescent="0.3">
      <c r="A371" t="s">
        <v>30</v>
      </c>
      <c r="B371">
        <v>2023</v>
      </c>
      <c r="C371" t="s">
        <v>37</v>
      </c>
      <c r="D371">
        <v>173.3</v>
      </c>
      <c r="E371">
        <v>206.9</v>
      </c>
      <c r="F371">
        <v>167.9</v>
      </c>
      <c r="G371">
        <v>178.2</v>
      </c>
      <c r="H371">
        <v>178.5</v>
      </c>
      <c r="I371">
        <v>173.7</v>
      </c>
      <c r="J371">
        <v>142.80000000000001</v>
      </c>
      <c r="K371">
        <v>172.8</v>
      </c>
      <c r="L371">
        <v>120.4</v>
      </c>
      <c r="M371">
        <v>215.5</v>
      </c>
      <c r="N371">
        <v>178.2</v>
      </c>
      <c r="O371">
        <v>190.5</v>
      </c>
      <c r="P371">
        <v>175.5</v>
      </c>
      <c r="Q371">
        <v>199.5</v>
      </c>
      <c r="R371">
        <v>190.7</v>
      </c>
      <c r="S371">
        <v>187.3</v>
      </c>
      <c r="T371">
        <v>190.2</v>
      </c>
      <c r="U371" t="s">
        <v>47</v>
      </c>
      <c r="V371">
        <v>181.5</v>
      </c>
      <c r="W371">
        <v>179.1</v>
      </c>
      <c r="X371">
        <v>187.2</v>
      </c>
      <c r="Y371">
        <v>169.4</v>
      </c>
      <c r="Z371">
        <v>173.2</v>
      </c>
      <c r="AA371">
        <v>179.4</v>
      </c>
      <c r="AB371">
        <v>183.8</v>
      </c>
      <c r="AC371">
        <v>178.9</v>
      </c>
      <c r="AD371">
        <v>178.8</v>
      </c>
    </row>
    <row r="372" spans="1:30" x14ac:dyDescent="0.3">
      <c r="A372" t="s">
        <v>33</v>
      </c>
      <c r="B372">
        <v>2023</v>
      </c>
      <c r="C372" t="s">
        <v>37</v>
      </c>
      <c r="D372">
        <v>174.8</v>
      </c>
      <c r="E372">
        <v>213.7</v>
      </c>
      <c r="F372">
        <v>172.4</v>
      </c>
      <c r="G372">
        <v>178.8</v>
      </c>
      <c r="H372">
        <v>168.7</v>
      </c>
      <c r="I372">
        <v>179.2</v>
      </c>
      <c r="J372">
        <v>179.9</v>
      </c>
      <c r="K372">
        <v>174.7</v>
      </c>
      <c r="L372">
        <v>123.1</v>
      </c>
      <c r="M372">
        <v>207.8</v>
      </c>
      <c r="N372">
        <v>165.5</v>
      </c>
      <c r="O372">
        <v>197</v>
      </c>
      <c r="P372">
        <v>182.1</v>
      </c>
      <c r="Q372">
        <v>203.5</v>
      </c>
      <c r="R372">
        <v>181</v>
      </c>
      <c r="S372">
        <v>167.7</v>
      </c>
      <c r="T372">
        <v>178.9</v>
      </c>
      <c r="U372">
        <v>175.2</v>
      </c>
      <c r="V372">
        <v>182.1</v>
      </c>
      <c r="W372">
        <v>169.6</v>
      </c>
      <c r="X372">
        <v>181.5</v>
      </c>
      <c r="Y372">
        <v>160.1</v>
      </c>
      <c r="Z372">
        <v>168.8</v>
      </c>
      <c r="AA372">
        <v>174.2</v>
      </c>
      <c r="AB372">
        <v>184.4</v>
      </c>
      <c r="AC372">
        <v>170.9</v>
      </c>
      <c r="AD372">
        <v>177.4</v>
      </c>
    </row>
    <row r="373" spans="1:30" x14ac:dyDescent="0.3">
      <c r="A373" t="s">
        <v>34</v>
      </c>
      <c r="B373">
        <v>2023</v>
      </c>
      <c r="C373" t="s">
        <v>37</v>
      </c>
      <c r="D373">
        <v>173.8</v>
      </c>
      <c r="E373">
        <v>209.3</v>
      </c>
      <c r="F373">
        <v>169.6</v>
      </c>
      <c r="G373">
        <v>178.4</v>
      </c>
      <c r="H373">
        <v>174.9</v>
      </c>
      <c r="I373">
        <v>176.3</v>
      </c>
      <c r="J373">
        <v>155.4</v>
      </c>
      <c r="K373">
        <v>173.4</v>
      </c>
      <c r="L373">
        <v>121.3</v>
      </c>
      <c r="M373">
        <v>212.9</v>
      </c>
      <c r="N373">
        <v>172.9</v>
      </c>
      <c r="O373">
        <v>193.5</v>
      </c>
      <c r="P373">
        <v>177.9</v>
      </c>
      <c r="Q373">
        <v>200.6</v>
      </c>
      <c r="R373">
        <v>186.9</v>
      </c>
      <c r="S373">
        <v>179.2</v>
      </c>
      <c r="T373">
        <v>185.7</v>
      </c>
      <c r="U373">
        <v>175.2</v>
      </c>
      <c r="V373">
        <v>181.7</v>
      </c>
      <c r="W373">
        <v>174.6</v>
      </c>
      <c r="X373">
        <v>185</v>
      </c>
      <c r="Y373">
        <v>164.5</v>
      </c>
      <c r="Z373">
        <v>170.7</v>
      </c>
      <c r="AA373">
        <v>176.4</v>
      </c>
      <c r="AB373">
        <v>184</v>
      </c>
      <c r="AC373">
        <v>175</v>
      </c>
      <c r="AD373">
        <v>178.1</v>
      </c>
    </row>
    <row r="374" spans="1:30" x14ac:dyDescent="0.3">
      <c r="A374" t="s">
        <v>30</v>
      </c>
      <c r="B374">
        <v>2023</v>
      </c>
      <c r="C374" t="s">
        <v>38</v>
      </c>
      <c r="D374">
        <v>173.2</v>
      </c>
      <c r="E374">
        <v>211.5</v>
      </c>
      <c r="F374">
        <v>171</v>
      </c>
      <c r="G374">
        <v>179.6</v>
      </c>
      <c r="H374">
        <v>173.3</v>
      </c>
      <c r="I374">
        <v>169</v>
      </c>
      <c r="J374">
        <v>148.69999999999999</v>
      </c>
      <c r="K374">
        <v>174.9</v>
      </c>
      <c r="L374">
        <v>121.9</v>
      </c>
      <c r="M374">
        <v>221</v>
      </c>
      <c r="N374">
        <v>178.7</v>
      </c>
      <c r="O374">
        <v>191.1</v>
      </c>
      <c r="P374">
        <v>176.8</v>
      </c>
      <c r="Q374">
        <v>199.9</v>
      </c>
      <c r="R374">
        <v>191.2</v>
      </c>
      <c r="S374">
        <v>187.9</v>
      </c>
      <c r="T374">
        <v>190.8</v>
      </c>
      <c r="U374" t="s">
        <v>47</v>
      </c>
      <c r="V374">
        <v>182.5</v>
      </c>
      <c r="W374">
        <v>179.8</v>
      </c>
      <c r="X374">
        <v>187.8</v>
      </c>
      <c r="Y374">
        <v>169.7</v>
      </c>
      <c r="Z374">
        <v>173.8</v>
      </c>
      <c r="AA374">
        <v>180.3</v>
      </c>
      <c r="AB374">
        <v>184.9</v>
      </c>
      <c r="AC374">
        <v>179.5</v>
      </c>
      <c r="AD374">
        <v>179.8</v>
      </c>
    </row>
    <row r="375" spans="1:30" x14ac:dyDescent="0.3">
      <c r="A375" t="s">
        <v>33</v>
      </c>
      <c r="B375">
        <v>2023</v>
      </c>
      <c r="C375" t="s">
        <v>38</v>
      </c>
      <c r="D375">
        <v>174.7</v>
      </c>
      <c r="E375">
        <v>219.4</v>
      </c>
      <c r="F375">
        <v>176.7</v>
      </c>
      <c r="G375">
        <v>179.4</v>
      </c>
      <c r="H375">
        <v>164.4</v>
      </c>
      <c r="I375">
        <v>175.8</v>
      </c>
      <c r="J375">
        <v>185</v>
      </c>
      <c r="K375">
        <v>176.9</v>
      </c>
      <c r="L375">
        <v>124.2</v>
      </c>
      <c r="M375">
        <v>211.9</v>
      </c>
      <c r="N375">
        <v>165.9</v>
      </c>
      <c r="O375">
        <v>197.7</v>
      </c>
      <c r="P375">
        <v>183.1</v>
      </c>
      <c r="Q375">
        <v>204.2</v>
      </c>
      <c r="R375">
        <v>181.3</v>
      </c>
      <c r="S375">
        <v>168.1</v>
      </c>
      <c r="T375">
        <v>179.3</v>
      </c>
      <c r="U375">
        <v>175.6</v>
      </c>
      <c r="V375">
        <v>183.4</v>
      </c>
      <c r="W375">
        <v>170.1</v>
      </c>
      <c r="X375">
        <v>182.2</v>
      </c>
      <c r="Y375">
        <v>160.4</v>
      </c>
      <c r="Z375">
        <v>169.2</v>
      </c>
      <c r="AA375">
        <v>174.8</v>
      </c>
      <c r="AB375">
        <v>185.6</v>
      </c>
      <c r="AC375">
        <v>171.6</v>
      </c>
      <c r="AD375">
        <v>178.2</v>
      </c>
    </row>
    <row r="376" spans="1:30" x14ac:dyDescent="0.3">
      <c r="A376" t="s">
        <v>34</v>
      </c>
      <c r="B376">
        <v>2023</v>
      </c>
      <c r="C376" t="s">
        <v>38</v>
      </c>
      <c r="D376">
        <v>173.7</v>
      </c>
      <c r="E376">
        <v>214.3</v>
      </c>
      <c r="F376">
        <v>173.2</v>
      </c>
      <c r="G376">
        <v>179.5</v>
      </c>
      <c r="H376">
        <v>170</v>
      </c>
      <c r="I376">
        <v>172.2</v>
      </c>
      <c r="J376">
        <v>161</v>
      </c>
      <c r="K376">
        <v>175.6</v>
      </c>
      <c r="L376">
        <v>122.7</v>
      </c>
      <c r="M376">
        <v>218</v>
      </c>
      <c r="N376">
        <v>173.4</v>
      </c>
      <c r="O376">
        <v>194.2</v>
      </c>
      <c r="P376">
        <v>179.1</v>
      </c>
      <c r="Q376">
        <v>201</v>
      </c>
      <c r="R376">
        <v>187.3</v>
      </c>
      <c r="S376">
        <v>179.7</v>
      </c>
      <c r="T376">
        <v>186.2</v>
      </c>
      <c r="U376">
        <v>175.6</v>
      </c>
      <c r="V376">
        <v>182.8</v>
      </c>
      <c r="W376">
        <v>175.2</v>
      </c>
      <c r="X376">
        <v>185.7</v>
      </c>
      <c r="Y376">
        <v>164.8</v>
      </c>
      <c r="Z376">
        <v>171.2</v>
      </c>
      <c r="AA376">
        <v>177.1</v>
      </c>
      <c r="AB376">
        <v>185.2</v>
      </c>
      <c r="AC376">
        <v>175.7</v>
      </c>
      <c r="AD376">
        <v>179.1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3C510-4482-4AAF-B744-05EEB1AEF14E}">
  <dimension ref="O37"/>
  <sheetViews>
    <sheetView topLeftCell="A46" workbookViewId="0">
      <selection activeCell="N59" sqref="N59"/>
    </sheetView>
  </sheetViews>
  <sheetFormatPr defaultRowHeight="14.4" x14ac:dyDescent="0.3"/>
  <sheetData>
    <row r="37" spans="15:15" x14ac:dyDescent="0.3">
      <c r="O37" t="s">
        <v>84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90FAD-D08E-4181-867A-54B61BF04025}">
  <dimension ref="B1:AE49"/>
  <sheetViews>
    <sheetView showGridLines="0" topLeftCell="H34" workbookViewId="0">
      <selection activeCell="K52" sqref="K52"/>
    </sheetView>
  </sheetViews>
  <sheetFormatPr defaultRowHeight="14.4" x14ac:dyDescent="0.3"/>
  <cols>
    <col min="2" max="2" width="32.5546875" customWidth="1"/>
    <col min="3" max="3" width="11.88671875" customWidth="1"/>
    <col min="4" max="4" width="10.33203125" customWidth="1"/>
    <col min="5" max="5" width="13.44140625" customWidth="1"/>
    <col min="6" max="6" width="19.33203125" customWidth="1"/>
    <col min="7" max="7" width="20.77734375" customWidth="1"/>
    <col min="8" max="8" width="14.109375" customWidth="1"/>
    <col min="9" max="9" width="10.77734375" customWidth="1"/>
    <col min="10" max="10" width="15.5546875" customWidth="1"/>
    <col min="11" max="11" width="18.33203125" customWidth="1"/>
    <col min="12" max="12" width="9.88671875" customWidth="1"/>
    <col min="13" max="13" width="9.109375" customWidth="1"/>
    <col min="14" max="14" width="12.5546875" customWidth="1"/>
    <col min="15" max="15" width="11" customWidth="1"/>
    <col min="16" max="16" width="12.77734375" customWidth="1"/>
    <col min="17" max="17" width="12.88671875" customWidth="1"/>
    <col min="20" max="20" width="12.6640625" customWidth="1"/>
  </cols>
  <sheetData>
    <row r="1" spans="2:31" x14ac:dyDescent="0.3">
      <c r="C1" s="11" t="s">
        <v>65</v>
      </c>
    </row>
    <row r="2" spans="2:31" x14ac:dyDescent="0.3">
      <c r="C2" s="11" t="s">
        <v>66</v>
      </c>
    </row>
    <row r="3" spans="2:31" ht="52.8" customHeight="1" x14ac:dyDescent="0.3">
      <c r="B3" s="15" t="s">
        <v>0</v>
      </c>
      <c r="C3" s="15" t="s">
        <v>1</v>
      </c>
      <c r="D3" s="15" t="s">
        <v>2</v>
      </c>
      <c r="E3" s="15" t="s">
        <v>3</v>
      </c>
      <c r="F3" s="15" t="s">
        <v>4</v>
      </c>
      <c r="G3" s="15" t="s">
        <v>5</v>
      </c>
      <c r="H3" s="15" t="s">
        <v>6</v>
      </c>
      <c r="I3" s="15" t="s">
        <v>7</v>
      </c>
      <c r="J3" s="15" t="s">
        <v>8</v>
      </c>
      <c r="K3" s="15" t="s">
        <v>9</v>
      </c>
      <c r="L3" s="15" t="s">
        <v>10</v>
      </c>
      <c r="M3" s="15" t="s">
        <v>11</v>
      </c>
      <c r="N3" s="15" t="s">
        <v>12</v>
      </c>
      <c r="O3" s="15" t="s">
        <v>13</v>
      </c>
      <c r="P3" s="15" t="s">
        <v>14</v>
      </c>
      <c r="Q3" s="15" t="s">
        <v>15</v>
      </c>
      <c r="R3" s="15" t="s">
        <v>16</v>
      </c>
      <c r="S3" s="15" t="s">
        <v>17</v>
      </c>
      <c r="T3" s="15" t="s">
        <v>18</v>
      </c>
      <c r="U3" s="15" t="s">
        <v>19</v>
      </c>
      <c r="V3" s="15" t="s">
        <v>20</v>
      </c>
      <c r="W3" s="15" t="s">
        <v>21</v>
      </c>
      <c r="X3" s="15" t="s">
        <v>22</v>
      </c>
      <c r="Y3" s="15" t="s">
        <v>23</v>
      </c>
      <c r="Z3" s="15" t="s">
        <v>24</v>
      </c>
      <c r="AA3" s="15" t="s">
        <v>25</v>
      </c>
      <c r="AB3" s="15" t="s">
        <v>26</v>
      </c>
      <c r="AC3" s="15" t="s">
        <v>27</v>
      </c>
      <c r="AD3" s="15" t="s">
        <v>28</v>
      </c>
      <c r="AE3" s="15" t="s">
        <v>29</v>
      </c>
    </row>
    <row r="4" spans="2:31" x14ac:dyDescent="0.3">
      <c r="B4" s="16" t="s">
        <v>30</v>
      </c>
      <c r="C4" s="17">
        <v>2023</v>
      </c>
      <c r="D4" s="17" t="s">
        <v>38</v>
      </c>
      <c r="E4" s="17">
        <v>173.2</v>
      </c>
      <c r="F4" s="17">
        <v>211.5</v>
      </c>
      <c r="G4" s="17">
        <v>171</v>
      </c>
      <c r="H4" s="17">
        <v>179.6</v>
      </c>
      <c r="I4" s="17">
        <v>173.3</v>
      </c>
      <c r="J4" s="17">
        <v>169</v>
      </c>
      <c r="K4" s="17">
        <v>148.69999999999999</v>
      </c>
      <c r="L4" s="17">
        <v>174.9</v>
      </c>
      <c r="M4" s="17">
        <v>121.9</v>
      </c>
      <c r="N4" s="17">
        <v>221</v>
      </c>
      <c r="O4" s="17">
        <v>178.7</v>
      </c>
      <c r="P4" s="17">
        <v>191.1</v>
      </c>
      <c r="Q4" s="17">
        <v>176.8</v>
      </c>
      <c r="R4" s="17">
        <v>199.9</v>
      </c>
      <c r="S4" s="17">
        <v>191.2</v>
      </c>
      <c r="T4" s="17">
        <v>187.9</v>
      </c>
      <c r="U4" s="17">
        <v>190.8</v>
      </c>
      <c r="V4" s="17" t="s">
        <v>47</v>
      </c>
      <c r="W4" s="17">
        <v>182.5</v>
      </c>
      <c r="X4" s="17">
        <v>179.8</v>
      </c>
      <c r="Y4" s="17">
        <v>187.8</v>
      </c>
      <c r="Z4" s="17">
        <v>169.7</v>
      </c>
      <c r="AA4" s="17">
        <v>173.8</v>
      </c>
      <c r="AB4" s="17">
        <v>180.3</v>
      </c>
      <c r="AC4" s="17">
        <v>184.9</v>
      </c>
      <c r="AD4" s="17">
        <v>179.5</v>
      </c>
      <c r="AE4" s="18">
        <v>179.8</v>
      </c>
    </row>
    <row r="5" spans="2:31" x14ac:dyDescent="0.3">
      <c r="B5" s="12" t="s">
        <v>33</v>
      </c>
      <c r="C5" s="13">
        <v>2023</v>
      </c>
      <c r="D5" s="13" t="s">
        <v>38</v>
      </c>
      <c r="E5" s="13">
        <v>174.7</v>
      </c>
      <c r="F5" s="13">
        <v>219.4</v>
      </c>
      <c r="G5" s="13">
        <v>176.7</v>
      </c>
      <c r="H5" s="13">
        <v>179.4</v>
      </c>
      <c r="I5" s="13">
        <v>164.4</v>
      </c>
      <c r="J5" s="13">
        <v>175.8</v>
      </c>
      <c r="K5" s="13">
        <v>185</v>
      </c>
      <c r="L5" s="13">
        <v>176.9</v>
      </c>
      <c r="M5" s="13">
        <v>124.2</v>
      </c>
      <c r="N5" s="13">
        <v>211.9</v>
      </c>
      <c r="O5" s="13">
        <v>165.9</v>
      </c>
      <c r="P5" s="13">
        <v>197.7</v>
      </c>
      <c r="Q5" s="13">
        <v>183.1</v>
      </c>
      <c r="R5" s="13">
        <v>204.2</v>
      </c>
      <c r="S5" s="13">
        <v>181.3</v>
      </c>
      <c r="T5" s="13">
        <v>168.1</v>
      </c>
      <c r="U5" s="13">
        <v>179.3</v>
      </c>
      <c r="V5" s="13">
        <v>175.6</v>
      </c>
      <c r="W5" s="13">
        <v>183.4</v>
      </c>
      <c r="X5" s="13">
        <v>170.1</v>
      </c>
      <c r="Y5" s="13">
        <v>182.2</v>
      </c>
      <c r="Z5" s="13">
        <v>160.4</v>
      </c>
      <c r="AA5" s="13">
        <v>169.2</v>
      </c>
      <c r="AB5" s="13">
        <v>174.8</v>
      </c>
      <c r="AC5" s="13">
        <v>185.6</v>
      </c>
      <c r="AD5" s="13">
        <v>171.6</v>
      </c>
      <c r="AE5" s="14">
        <v>178.2</v>
      </c>
    </row>
    <row r="6" spans="2:31" ht="15" thickBot="1" x14ac:dyDescent="0.35">
      <c r="B6" s="19" t="s">
        <v>34</v>
      </c>
      <c r="C6" s="20">
        <v>2023</v>
      </c>
      <c r="D6" s="20" t="s">
        <v>38</v>
      </c>
      <c r="E6" s="20">
        <v>173.7</v>
      </c>
      <c r="F6" s="20">
        <v>214.3</v>
      </c>
      <c r="G6" s="20">
        <v>173.2</v>
      </c>
      <c r="H6" s="20">
        <v>179.5</v>
      </c>
      <c r="I6" s="20">
        <v>170</v>
      </c>
      <c r="J6" s="20">
        <v>172.2</v>
      </c>
      <c r="K6" s="20">
        <v>161</v>
      </c>
      <c r="L6" s="20">
        <v>175.6</v>
      </c>
      <c r="M6" s="20">
        <v>122.7</v>
      </c>
      <c r="N6" s="20">
        <v>218</v>
      </c>
      <c r="O6" s="20">
        <v>173.4</v>
      </c>
      <c r="P6" s="20">
        <v>194.2</v>
      </c>
      <c r="Q6" s="20">
        <v>179.1</v>
      </c>
      <c r="R6" s="20">
        <v>201</v>
      </c>
      <c r="S6" s="20">
        <v>187.3</v>
      </c>
      <c r="T6" s="20">
        <v>179.7</v>
      </c>
      <c r="U6" s="20">
        <v>186.2</v>
      </c>
      <c r="V6" s="20">
        <v>175.6</v>
      </c>
      <c r="W6" s="20">
        <v>182.8</v>
      </c>
      <c r="X6" s="20">
        <v>175.2</v>
      </c>
      <c r="Y6" s="20">
        <v>185.7</v>
      </c>
      <c r="Z6" s="20">
        <v>164.8</v>
      </c>
      <c r="AA6" s="20">
        <v>171.2</v>
      </c>
      <c r="AB6" s="20">
        <v>177.1</v>
      </c>
      <c r="AC6" s="20">
        <v>185.2</v>
      </c>
      <c r="AD6" s="20">
        <v>175.7</v>
      </c>
      <c r="AE6" s="21">
        <v>179.1</v>
      </c>
    </row>
    <row r="9" spans="2:31" ht="15" thickBot="1" x14ac:dyDescent="0.35">
      <c r="C9" s="22" t="s">
        <v>64</v>
      </c>
      <c r="K9" s="22" t="s">
        <v>64</v>
      </c>
    </row>
    <row r="10" spans="2:31" ht="29.4" thickBot="1" x14ac:dyDescent="0.35">
      <c r="B10" s="150" t="s">
        <v>56</v>
      </c>
      <c r="C10" s="151" t="s">
        <v>30</v>
      </c>
      <c r="D10" s="152" t="s">
        <v>33</v>
      </c>
      <c r="E10" s="151" t="s">
        <v>34</v>
      </c>
      <c r="F10" s="153" t="s">
        <v>58</v>
      </c>
      <c r="H10" s="23" t="s">
        <v>58</v>
      </c>
      <c r="I10" s="24" t="s">
        <v>30</v>
      </c>
      <c r="J10" s="25" t="s">
        <v>33</v>
      </c>
      <c r="K10" s="24" t="s">
        <v>34</v>
      </c>
      <c r="L10" s="24" t="s">
        <v>30</v>
      </c>
      <c r="M10" s="25" t="s">
        <v>33</v>
      </c>
      <c r="N10" s="26" t="s">
        <v>34</v>
      </c>
    </row>
    <row r="11" spans="2:31" x14ac:dyDescent="0.3">
      <c r="B11" s="146" t="s">
        <v>3</v>
      </c>
      <c r="C11" s="42">
        <v>173.2</v>
      </c>
      <c r="D11" s="43">
        <v>174.7</v>
      </c>
      <c r="E11" s="42">
        <v>173.7</v>
      </c>
      <c r="F11" s="148" t="s">
        <v>57</v>
      </c>
      <c r="H11" s="27" t="s">
        <v>57</v>
      </c>
      <c r="I11" s="28">
        <f t="shared" ref="I11:I20" si="0">SUMIFS(C$11:C$37,$F$11:$F$37,$H11)</f>
        <v>2099.6000000000004</v>
      </c>
      <c r="J11" s="28">
        <f t="shared" ref="J11:J20" si="1">SUMIFS(D$11:D$37,$F$11:$F$37,$H11)</f>
        <v>2137.4</v>
      </c>
      <c r="K11" s="28">
        <f t="shared" ref="K11:K20" si="2">SUMIFS(E$11:E$37,$F$11:$F$37,$H11)</f>
        <v>2112.7000000000003</v>
      </c>
      <c r="L11" s="29">
        <f t="shared" ref="L11:L19" si="3">I11/$I$21</f>
        <v>0.46670223170623276</v>
      </c>
      <c r="M11" s="29">
        <f t="shared" ref="M11:M19" si="4">J11/$J$21</f>
        <v>0.46055721950483741</v>
      </c>
      <c r="N11" s="30">
        <f t="shared" ref="N11:N19" si="5">K11/$K$21</f>
        <v>0.45391457545548297</v>
      </c>
    </row>
    <row r="12" spans="2:31" x14ac:dyDescent="0.3">
      <c r="B12" s="147" t="s">
        <v>4</v>
      </c>
      <c r="C12" s="44">
        <v>211.5</v>
      </c>
      <c r="D12" s="45">
        <v>219.4</v>
      </c>
      <c r="E12" s="44">
        <v>214.3</v>
      </c>
      <c r="F12" s="149" t="s">
        <v>57</v>
      </c>
      <c r="H12" s="31" t="s">
        <v>59</v>
      </c>
      <c r="I12" s="32">
        <f t="shared" si="0"/>
        <v>749.69999999999993</v>
      </c>
      <c r="J12" s="32">
        <f t="shared" si="1"/>
        <v>756.69999999999993</v>
      </c>
      <c r="K12" s="32">
        <f t="shared" si="2"/>
        <v>751.59999999999991</v>
      </c>
      <c r="L12" s="33">
        <f t="shared" si="3"/>
        <v>0.1666444385169378</v>
      </c>
      <c r="M12" s="33">
        <f t="shared" si="4"/>
        <v>0.16305027042168541</v>
      </c>
      <c r="N12" s="34">
        <f t="shared" si="5"/>
        <v>0.16148160880027498</v>
      </c>
    </row>
    <row r="13" spans="2:31" x14ac:dyDescent="0.3">
      <c r="B13" s="147" t="s">
        <v>5</v>
      </c>
      <c r="C13" s="44">
        <v>171</v>
      </c>
      <c r="D13" s="45">
        <v>176.7</v>
      </c>
      <c r="E13" s="44">
        <v>173.2</v>
      </c>
      <c r="F13" s="149" t="s">
        <v>57</v>
      </c>
      <c r="H13" s="31" t="s">
        <v>17</v>
      </c>
      <c r="I13" s="32">
        <f t="shared" si="0"/>
        <v>569.90000000000009</v>
      </c>
      <c r="J13" s="32">
        <f t="shared" si="1"/>
        <v>528.70000000000005</v>
      </c>
      <c r="K13" s="32">
        <f t="shared" si="2"/>
        <v>553.20000000000005</v>
      </c>
      <c r="L13" s="33">
        <f t="shared" si="3"/>
        <v>0.12667822530452563</v>
      </c>
      <c r="M13" s="33">
        <f t="shared" si="4"/>
        <v>0.11392186860307267</v>
      </c>
      <c r="N13" s="34">
        <f t="shared" si="5"/>
        <v>0.11885527672739772</v>
      </c>
    </row>
    <row r="14" spans="2:31" x14ac:dyDescent="0.3">
      <c r="B14" s="147" t="s">
        <v>6</v>
      </c>
      <c r="C14" s="44">
        <v>179.6</v>
      </c>
      <c r="D14" s="45">
        <v>179.4</v>
      </c>
      <c r="E14" s="44">
        <v>179.5</v>
      </c>
      <c r="F14" s="149" t="s">
        <v>57</v>
      </c>
      <c r="H14" s="31" t="s">
        <v>20</v>
      </c>
      <c r="I14" s="32">
        <f t="shared" si="0"/>
        <v>179.8</v>
      </c>
      <c r="J14" s="32">
        <f t="shared" si="1"/>
        <v>345.7</v>
      </c>
      <c r="K14" s="32">
        <f t="shared" si="2"/>
        <v>350.79999999999995</v>
      </c>
      <c r="L14" s="33">
        <f t="shared" si="3"/>
        <v>3.9966213212412192E-2</v>
      </c>
      <c r="M14" s="33">
        <f t="shared" si="4"/>
        <v>7.4489861880238734E-2</v>
      </c>
      <c r="N14" s="34">
        <f t="shared" si="5"/>
        <v>7.5369542798212424E-2</v>
      </c>
    </row>
    <row r="15" spans="2:31" x14ac:dyDescent="0.3">
      <c r="B15" s="147" t="s">
        <v>7</v>
      </c>
      <c r="C15" s="44">
        <v>173.3</v>
      </c>
      <c r="D15" s="45">
        <v>164.4</v>
      </c>
      <c r="E15" s="44">
        <v>170</v>
      </c>
      <c r="F15" s="149" t="s">
        <v>57</v>
      </c>
      <c r="H15" s="31" t="s">
        <v>21</v>
      </c>
      <c r="I15" s="32">
        <f t="shared" si="0"/>
        <v>182.5</v>
      </c>
      <c r="J15" s="32">
        <f t="shared" si="1"/>
        <v>183.4</v>
      </c>
      <c r="K15" s="32">
        <f t="shared" si="2"/>
        <v>182.8</v>
      </c>
      <c r="L15" s="33">
        <f t="shared" si="3"/>
        <v>4.0566373255090236E-2</v>
      </c>
      <c r="M15" s="33">
        <f t="shared" si="4"/>
        <v>3.9518196901463076E-2</v>
      </c>
      <c r="N15" s="34">
        <f t="shared" si="5"/>
        <v>3.9274664833276039E-2</v>
      </c>
    </row>
    <row r="16" spans="2:31" x14ac:dyDescent="0.3">
      <c r="B16" s="147" t="s">
        <v>8</v>
      </c>
      <c r="C16" s="44">
        <v>169</v>
      </c>
      <c r="D16" s="45">
        <v>175.8</v>
      </c>
      <c r="E16" s="44">
        <v>172.2</v>
      </c>
      <c r="F16" s="149" t="s">
        <v>57</v>
      </c>
      <c r="H16" s="31" t="s">
        <v>23</v>
      </c>
      <c r="I16" s="32">
        <f t="shared" si="0"/>
        <v>187.8</v>
      </c>
      <c r="J16" s="32">
        <f t="shared" si="1"/>
        <v>182.2</v>
      </c>
      <c r="K16" s="32">
        <f t="shared" si="2"/>
        <v>185.7</v>
      </c>
      <c r="L16" s="33">
        <f t="shared" si="3"/>
        <v>4.174446519071752E-2</v>
      </c>
      <c r="M16" s="33">
        <f t="shared" si="4"/>
        <v>3.9259626365575638E-2</v>
      </c>
      <c r="N16" s="34">
        <f t="shared" si="5"/>
        <v>3.9897731179099338E-2</v>
      </c>
    </row>
    <row r="17" spans="2:14" x14ac:dyDescent="0.3">
      <c r="B17" s="147" t="s">
        <v>9</v>
      </c>
      <c r="C17" s="44">
        <v>148.69999999999999</v>
      </c>
      <c r="D17" s="45">
        <v>185</v>
      </c>
      <c r="E17" s="44">
        <v>161</v>
      </c>
      <c r="F17" s="149" t="s">
        <v>57</v>
      </c>
      <c r="H17" s="31" t="s">
        <v>60</v>
      </c>
      <c r="I17" s="32">
        <f t="shared" si="0"/>
        <v>169.7</v>
      </c>
      <c r="J17" s="32">
        <f t="shared" si="1"/>
        <v>160.4</v>
      </c>
      <c r="K17" s="32">
        <f t="shared" si="2"/>
        <v>164.8</v>
      </c>
      <c r="L17" s="33">
        <f t="shared" si="3"/>
        <v>3.7721170089801713E-2</v>
      </c>
      <c r="M17" s="33">
        <f t="shared" si="4"/>
        <v>3.4562261630287229E-2</v>
      </c>
      <c r="N17" s="34">
        <f t="shared" si="5"/>
        <v>3.5407356479889997E-2</v>
      </c>
    </row>
    <row r="18" spans="2:14" x14ac:dyDescent="0.3">
      <c r="B18" s="147" t="s">
        <v>10</v>
      </c>
      <c r="C18" s="44">
        <v>174.9</v>
      </c>
      <c r="D18" s="45">
        <v>176.9</v>
      </c>
      <c r="E18" s="44">
        <v>175.6</v>
      </c>
      <c r="F18" s="149" t="s">
        <v>57</v>
      </c>
      <c r="H18" s="31" t="s">
        <v>26</v>
      </c>
      <c r="I18" s="32">
        <f t="shared" si="0"/>
        <v>180.3</v>
      </c>
      <c r="J18" s="32">
        <f t="shared" si="1"/>
        <v>174.8</v>
      </c>
      <c r="K18" s="32">
        <f t="shared" si="2"/>
        <v>177.1</v>
      </c>
      <c r="L18" s="33">
        <f t="shared" si="3"/>
        <v>4.0077353961056272E-2</v>
      </c>
      <c r="M18" s="33">
        <f t="shared" si="4"/>
        <v>3.7665108060936453E-2</v>
      </c>
      <c r="N18" s="34">
        <f t="shared" si="5"/>
        <v>3.8050017188037119E-2</v>
      </c>
    </row>
    <row r="19" spans="2:14" x14ac:dyDescent="0.3">
      <c r="B19" s="147" t="s">
        <v>11</v>
      </c>
      <c r="C19" s="44">
        <v>121.9</v>
      </c>
      <c r="D19" s="45">
        <v>124.2</v>
      </c>
      <c r="E19" s="44">
        <v>122.7</v>
      </c>
      <c r="F19" s="149" t="s">
        <v>57</v>
      </c>
      <c r="H19" s="31" t="s">
        <v>61</v>
      </c>
      <c r="I19" s="32">
        <f t="shared" si="0"/>
        <v>179.5</v>
      </c>
      <c r="J19" s="32">
        <f t="shared" si="1"/>
        <v>171.6</v>
      </c>
      <c r="K19" s="32">
        <f t="shared" si="2"/>
        <v>175.7</v>
      </c>
      <c r="L19" s="33">
        <f t="shared" si="3"/>
        <v>3.9899528763225736E-2</v>
      </c>
      <c r="M19" s="33">
        <f t="shared" si="4"/>
        <v>3.6975586631903291E-2</v>
      </c>
      <c r="N19" s="34">
        <f t="shared" si="5"/>
        <v>3.7749226538329315E-2</v>
      </c>
    </row>
    <row r="20" spans="2:14" ht="15" thickBot="1" x14ac:dyDescent="0.35">
      <c r="B20" s="147" t="s">
        <v>12</v>
      </c>
      <c r="C20" s="44">
        <v>221</v>
      </c>
      <c r="D20" s="45">
        <v>211.9</v>
      </c>
      <c r="E20" s="44">
        <v>218</v>
      </c>
      <c r="F20" s="149" t="s">
        <v>57</v>
      </c>
      <c r="H20" s="35" t="s">
        <v>62</v>
      </c>
      <c r="I20" s="36">
        <f t="shared" si="0"/>
        <v>179.8</v>
      </c>
      <c r="J20" s="36">
        <f t="shared" si="1"/>
        <v>178.2</v>
      </c>
      <c r="K20" s="36">
        <f t="shared" si="2"/>
        <v>179.1</v>
      </c>
      <c r="L20" s="37"/>
      <c r="M20" s="37"/>
      <c r="N20" s="38"/>
    </row>
    <row r="21" spans="2:14" ht="15" thickBot="1" x14ac:dyDescent="0.35">
      <c r="B21" s="147" t="s">
        <v>13</v>
      </c>
      <c r="C21" s="44">
        <v>178.7</v>
      </c>
      <c r="D21" s="45">
        <v>165.9</v>
      </c>
      <c r="E21" s="44">
        <v>173.4</v>
      </c>
      <c r="F21" s="149" t="s">
        <v>57</v>
      </c>
      <c r="H21" s="23" t="s">
        <v>63</v>
      </c>
      <c r="I21" s="24">
        <f t="shared" ref="I21:N21" si="6">SUM(I11:I19)</f>
        <v>4498.8000000000011</v>
      </c>
      <c r="J21" s="25">
        <f t="shared" si="6"/>
        <v>4640.9000000000005</v>
      </c>
      <c r="K21" s="24">
        <f t="shared" si="6"/>
        <v>4654.4000000000005</v>
      </c>
      <c r="L21" s="39">
        <f t="shared" si="6"/>
        <v>1</v>
      </c>
      <c r="M21" s="40">
        <f t="shared" si="6"/>
        <v>0.99999999999999989</v>
      </c>
      <c r="N21" s="41">
        <f t="shared" si="6"/>
        <v>0.99999999999999989</v>
      </c>
    </row>
    <row r="22" spans="2:14" x14ac:dyDescent="0.3">
      <c r="B22" s="147" t="s">
        <v>14</v>
      </c>
      <c r="C22" s="44">
        <v>191.1</v>
      </c>
      <c r="D22" s="45">
        <v>197.7</v>
      </c>
      <c r="E22" s="44">
        <v>194.2</v>
      </c>
      <c r="F22" s="149" t="s">
        <v>59</v>
      </c>
    </row>
    <row r="23" spans="2:14" x14ac:dyDescent="0.3">
      <c r="B23" s="147" t="s">
        <v>15</v>
      </c>
      <c r="C23" s="44">
        <v>176.8</v>
      </c>
      <c r="D23" s="45">
        <v>183.1</v>
      </c>
      <c r="E23" s="44">
        <v>179.1</v>
      </c>
      <c r="F23" s="149" t="s">
        <v>57</v>
      </c>
    </row>
    <row r="24" spans="2:14" x14ac:dyDescent="0.3">
      <c r="B24" s="147" t="s">
        <v>16</v>
      </c>
      <c r="C24" s="44">
        <v>199.9</v>
      </c>
      <c r="D24" s="45">
        <v>204.2</v>
      </c>
      <c r="E24" s="44">
        <v>201</v>
      </c>
      <c r="F24" s="149" t="s">
        <v>59</v>
      </c>
      <c r="K24" s="10"/>
    </row>
    <row r="25" spans="2:14" x14ac:dyDescent="0.3">
      <c r="B25" s="147" t="s">
        <v>17</v>
      </c>
      <c r="C25" s="44">
        <v>191.2</v>
      </c>
      <c r="D25" s="45">
        <v>181.3</v>
      </c>
      <c r="E25" s="44">
        <v>187.3</v>
      </c>
      <c r="F25" s="149" t="s">
        <v>17</v>
      </c>
    </row>
    <row r="26" spans="2:14" x14ac:dyDescent="0.3">
      <c r="B26" s="147" t="s">
        <v>18</v>
      </c>
      <c r="C26" s="44">
        <v>187.9</v>
      </c>
      <c r="D26" s="45">
        <v>168.1</v>
      </c>
      <c r="E26" s="44">
        <v>179.7</v>
      </c>
      <c r="F26" s="149" t="s">
        <v>17</v>
      </c>
    </row>
    <row r="27" spans="2:14" x14ac:dyDescent="0.3">
      <c r="B27" s="147" t="s">
        <v>19</v>
      </c>
      <c r="C27" s="44">
        <v>190.8</v>
      </c>
      <c r="D27" s="45">
        <v>179.3</v>
      </c>
      <c r="E27" s="44">
        <v>186.2</v>
      </c>
      <c r="F27" s="149" t="s">
        <v>17</v>
      </c>
    </row>
    <row r="28" spans="2:14" x14ac:dyDescent="0.3">
      <c r="B28" s="147" t="s">
        <v>20</v>
      </c>
      <c r="C28" s="44" t="s">
        <v>47</v>
      </c>
      <c r="D28" s="45">
        <v>175.6</v>
      </c>
      <c r="E28" s="44">
        <v>175.6</v>
      </c>
      <c r="F28" s="149" t="s">
        <v>20</v>
      </c>
    </row>
    <row r="29" spans="2:14" x14ac:dyDescent="0.3">
      <c r="B29" s="147" t="s">
        <v>21</v>
      </c>
      <c r="C29" s="44">
        <v>182.5</v>
      </c>
      <c r="D29" s="45">
        <v>183.4</v>
      </c>
      <c r="E29" s="44">
        <v>182.8</v>
      </c>
      <c r="F29" s="149" t="s">
        <v>21</v>
      </c>
    </row>
    <row r="30" spans="2:14" x14ac:dyDescent="0.3">
      <c r="B30" s="147" t="s">
        <v>22</v>
      </c>
      <c r="C30" s="44">
        <v>179.8</v>
      </c>
      <c r="D30" s="45">
        <v>170.1</v>
      </c>
      <c r="E30" s="44">
        <v>175.2</v>
      </c>
      <c r="F30" s="149" t="s">
        <v>20</v>
      </c>
    </row>
    <row r="31" spans="2:14" x14ac:dyDescent="0.3">
      <c r="B31" s="147" t="s">
        <v>23</v>
      </c>
      <c r="C31" s="44">
        <v>187.8</v>
      </c>
      <c r="D31" s="45">
        <v>182.2</v>
      </c>
      <c r="E31" s="44">
        <v>185.7</v>
      </c>
      <c r="F31" s="149" t="s">
        <v>23</v>
      </c>
    </row>
    <row r="32" spans="2:14" x14ac:dyDescent="0.3">
      <c r="B32" s="147" t="s">
        <v>24</v>
      </c>
      <c r="C32" s="44">
        <v>169.7</v>
      </c>
      <c r="D32" s="45">
        <v>160.4</v>
      </c>
      <c r="E32" s="44">
        <v>164.8</v>
      </c>
      <c r="F32" s="149" t="s">
        <v>60</v>
      </c>
    </row>
    <row r="33" spans="2:21" x14ac:dyDescent="0.3">
      <c r="B33" s="147" t="s">
        <v>25</v>
      </c>
      <c r="C33" s="44">
        <v>173.8</v>
      </c>
      <c r="D33" s="45">
        <v>169.2</v>
      </c>
      <c r="E33" s="44">
        <v>171.2</v>
      </c>
      <c r="F33" s="149" t="s">
        <v>59</v>
      </c>
    </row>
    <row r="34" spans="2:21" x14ac:dyDescent="0.3">
      <c r="B34" s="147" t="s">
        <v>26</v>
      </c>
      <c r="C34" s="44">
        <v>180.3</v>
      </c>
      <c r="D34" s="45">
        <v>174.8</v>
      </c>
      <c r="E34" s="44">
        <v>177.1</v>
      </c>
      <c r="F34" s="149" t="s">
        <v>26</v>
      </c>
    </row>
    <row r="35" spans="2:21" x14ac:dyDescent="0.3">
      <c r="B35" s="147" t="s">
        <v>27</v>
      </c>
      <c r="C35" s="44">
        <v>184.9</v>
      </c>
      <c r="D35" s="45">
        <v>185.6</v>
      </c>
      <c r="E35" s="44">
        <v>185.2</v>
      </c>
      <c r="F35" s="149" t="s">
        <v>59</v>
      </c>
    </row>
    <row r="36" spans="2:21" x14ac:dyDescent="0.3">
      <c r="B36" s="147" t="s">
        <v>28</v>
      </c>
      <c r="C36" s="44">
        <v>179.5</v>
      </c>
      <c r="D36" s="45">
        <v>171.6</v>
      </c>
      <c r="E36" s="44">
        <v>175.7</v>
      </c>
      <c r="F36" s="149" t="s">
        <v>61</v>
      </c>
    </row>
    <row r="37" spans="2:21" x14ac:dyDescent="0.3">
      <c r="B37" s="154" t="s">
        <v>29</v>
      </c>
      <c r="C37" s="155">
        <v>179.8</v>
      </c>
      <c r="D37" s="156">
        <v>178.2</v>
      </c>
      <c r="E37" s="157">
        <v>179.1</v>
      </c>
      <c r="F37" s="158" t="s">
        <v>62</v>
      </c>
    </row>
    <row r="42" spans="2:21" ht="15" thickBot="1" x14ac:dyDescent="0.35"/>
    <row r="43" spans="2:21" ht="18" x14ac:dyDescent="0.3">
      <c r="H43" s="247" t="s">
        <v>171</v>
      </c>
      <c r="I43" s="248"/>
      <c r="J43" s="248"/>
      <c r="K43" s="248"/>
      <c r="L43" s="248"/>
      <c r="M43" s="248"/>
      <c r="N43" s="248"/>
      <c r="O43" s="248"/>
      <c r="P43" s="248"/>
      <c r="Q43" s="248"/>
      <c r="R43" s="248"/>
      <c r="S43" s="248"/>
      <c r="T43" s="248"/>
      <c r="U43" s="249"/>
    </row>
    <row r="44" spans="2:21" x14ac:dyDescent="0.3">
      <c r="H44" s="250"/>
      <c r="I44" s="1"/>
      <c r="J44" s="1"/>
      <c r="K44" s="1"/>
      <c r="L44" s="1"/>
      <c r="M44" s="1"/>
      <c r="N44" s="1"/>
      <c r="O44" s="1"/>
      <c r="P44" s="1"/>
      <c r="Q44" s="1"/>
      <c r="R44" s="1"/>
      <c r="S44" s="1"/>
      <c r="T44" s="1"/>
      <c r="U44" s="251"/>
    </row>
    <row r="45" spans="2:21" x14ac:dyDescent="0.3">
      <c r="H45" s="252" t="s">
        <v>166</v>
      </c>
      <c r="I45" s="1"/>
      <c r="J45" s="1"/>
      <c r="K45" s="1"/>
      <c r="L45" s="1"/>
      <c r="M45" s="1"/>
      <c r="N45" s="1"/>
      <c r="O45" s="1"/>
      <c r="P45" s="1"/>
      <c r="Q45" s="1"/>
      <c r="R45" s="1"/>
      <c r="S45" s="1"/>
      <c r="T45" s="1"/>
      <c r="U45" s="251"/>
    </row>
    <row r="46" spans="2:21" x14ac:dyDescent="0.3">
      <c r="H46" s="252" t="s">
        <v>167</v>
      </c>
      <c r="I46" s="1"/>
      <c r="J46" s="1"/>
      <c r="K46" s="1"/>
      <c r="L46" s="1"/>
      <c r="M46" s="1"/>
      <c r="N46" s="1"/>
      <c r="O46" s="1"/>
      <c r="P46" s="1"/>
      <c r="Q46" s="1"/>
      <c r="R46" s="1"/>
      <c r="S46" s="1"/>
      <c r="T46" s="1"/>
      <c r="U46" s="251"/>
    </row>
    <row r="47" spans="2:21" x14ac:dyDescent="0.3">
      <c r="H47" s="252" t="s">
        <v>168</v>
      </c>
      <c r="I47" s="1"/>
      <c r="J47" s="1"/>
      <c r="K47" s="1"/>
      <c r="L47" s="1"/>
      <c r="M47" s="1"/>
      <c r="N47" s="1"/>
      <c r="O47" s="1"/>
      <c r="P47" s="1"/>
      <c r="Q47" s="1"/>
      <c r="R47" s="1"/>
      <c r="S47" s="1"/>
      <c r="T47" s="1"/>
      <c r="U47" s="251"/>
    </row>
    <row r="48" spans="2:21" x14ac:dyDescent="0.3">
      <c r="H48" s="252" t="s">
        <v>169</v>
      </c>
      <c r="I48" s="1"/>
      <c r="J48" s="1"/>
      <c r="K48" s="1"/>
      <c r="L48" s="1"/>
      <c r="M48" s="1"/>
      <c r="N48" s="1"/>
      <c r="O48" s="1"/>
      <c r="P48" s="1"/>
      <c r="Q48" s="1"/>
      <c r="R48" s="1"/>
      <c r="S48" s="1"/>
      <c r="T48" s="1"/>
      <c r="U48" s="251"/>
    </row>
    <row r="49" spans="8:21" ht="15" thickBot="1" x14ac:dyDescent="0.35">
      <c r="H49" s="253" t="s">
        <v>170</v>
      </c>
      <c r="I49" s="254"/>
      <c r="J49" s="254"/>
      <c r="K49" s="254"/>
      <c r="L49" s="254"/>
      <c r="M49" s="254"/>
      <c r="N49" s="254"/>
      <c r="O49" s="254"/>
      <c r="P49" s="254"/>
      <c r="Q49" s="254"/>
      <c r="R49" s="254"/>
      <c r="S49" s="254"/>
      <c r="T49" s="254"/>
      <c r="U49" s="255"/>
    </row>
  </sheetData>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9CC8B-3AFC-4652-B4C5-A862544159D9}">
  <dimension ref="E4:O32"/>
  <sheetViews>
    <sheetView showGridLines="0" topLeftCell="A10" workbookViewId="0">
      <selection activeCell="J14" sqref="J14"/>
    </sheetView>
  </sheetViews>
  <sheetFormatPr defaultRowHeight="14.4" x14ac:dyDescent="0.3"/>
  <cols>
    <col min="6" max="6" width="30.33203125" customWidth="1"/>
    <col min="8" max="8" width="13.6640625" customWidth="1"/>
    <col min="9" max="9" width="9.5546875" bestFit="1" customWidth="1"/>
    <col min="11" max="13" width="11.5546875" bestFit="1" customWidth="1"/>
  </cols>
  <sheetData>
    <row r="4" spans="5:15" x14ac:dyDescent="0.3">
      <c r="E4" s="11"/>
    </row>
    <row r="5" spans="5:15" x14ac:dyDescent="0.3">
      <c r="E5" s="47"/>
    </row>
    <row r="8" spans="5:15" ht="15" thickBot="1" x14ac:dyDescent="0.35">
      <c r="O8" s="46"/>
    </row>
    <row r="9" spans="5:15" ht="21.6" thickBot="1" x14ac:dyDescent="0.45">
      <c r="F9" s="56"/>
      <c r="G9" s="57" t="s">
        <v>73</v>
      </c>
      <c r="H9" s="57"/>
      <c r="I9" s="57"/>
      <c r="J9" s="57"/>
      <c r="K9" s="61"/>
      <c r="L9" s="62"/>
      <c r="O9" s="46"/>
    </row>
    <row r="10" spans="5:15" ht="39.6" x14ac:dyDescent="0.3">
      <c r="F10" s="58" t="s">
        <v>1</v>
      </c>
      <c r="G10" s="59" t="s">
        <v>67</v>
      </c>
      <c r="H10" s="59" t="s">
        <v>68</v>
      </c>
      <c r="I10" s="59" t="s">
        <v>69</v>
      </c>
      <c r="J10" s="59" t="s">
        <v>70</v>
      </c>
      <c r="K10" s="59" t="s">
        <v>71</v>
      </c>
      <c r="L10" s="60" t="s">
        <v>72</v>
      </c>
      <c r="O10" s="46"/>
    </row>
    <row r="11" spans="5:15" x14ac:dyDescent="0.3">
      <c r="F11" s="93">
        <v>2016</v>
      </c>
      <c r="G11" s="48" cm="1">
        <f t="array" ref="G11">INDEX(Working_Data!$AD:$AD,MATCH(1,(Working_Data!$A:$A="Rural+Urban")*(Working_Data!$B:$B=$F11)*(Working_Data!$C:$C="March"),0))</f>
        <v>126</v>
      </c>
      <c r="H11" s="48" cm="1">
        <f t="array" ref="H11">INDEX(Working_Data!$AD:$AD,MATCH(1,(Working_Data!$A:$A="Rural")*(Working_Data!$B:$B=$F11)*(Working_Data!$C:$C="March"),0))</f>
        <v>128</v>
      </c>
      <c r="I11" s="48" cm="1">
        <f t="array" ref="I11">INDEX(Working_Data!$AD:$AD,MATCH(1,(Working_Data!$A:$A="Urban")*(Working_Data!$B:$B=$F11)*(Working_Data!$C:$C="March"),0))</f>
        <v>123.8</v>
      </c>
      <c r="J11" s="48" t="s">
        <v>47</v>
      </c>
      <c r="K11" s="49" t="s">
        <v>47</v>
      </c>
      <c r="L11" s="50" t="s">
        <v>47</v>
      </c>
      <c r="O11" s="46"/>
    </row>
    <row r="12" spans="5:15" x14ac:dyDescent="0.3">
      <c r="F12" s="93">
        <v>2017</v>
      </c>
      <c r="G12" s="48" cm="1">
        <f t="array" ref="G12">INDEX(Working_Data!$AD:$AD,MATCH(1,(Working_Data!$A:$A="Rural+Urban")*(Working_Data!$B:$B=$F12)*(Working_Data!$C:$C="March"),0))</f>
        <v>130.9</v>
      </c>
      <c r="H12" s="48" cm="1">
        <f t="array" ref="H12">INDEX(Working_Data!$AD:$AD,MATCH(1,(Working_Data!$A:$A="Rural")*(Working_Data!$B:$B=$F12)*(Working_Data!$C:$C="March"),0))</f>
        <v>132.80000000000001</v>
      </c>
      <c r="I12" s="48" cm="1">
        <f t="array" ref="I12">INDEX(Working_Data!$AD:$AD,MATCH(1,(Working_Data!$A:$A="Urban")*(Working_Data!$B:$B=$F12)*(Working_Data!$C:$C="March"),0))</f>
        <v>128.69999999999999</v>
      </c>
      <c r="J12" s="49">
        <f>(G12-G11)/G11</f>
        <v>3.8888888888888931E-2</v>
      </c>
      <c r="K12" s="49">
        <f>(H12-H11)/H11</f>
        <v>3.7500000000000089E-2</v>
      </c>
      <c r="L12" s="51">
        <f t="shared" ref="L12:L18" si="0">(I12-I11)/I11</f>
        <v>3.9579967689822228E-2</v>
      </c>
      <c r="O12" s="46"/>
    </row>
    <row r="13" spans="5:15" x14ac:dyDescent="0.3">
      <c r="F13" s="93">
        <v>2018</v>
      </c>
      <c r="G13" s="48" cm="1">
        <f t="array" ref="G13">INDEX(Working_Data!$AD:$AD,MATCH(1,(Working_Data!$A:$A="Rural+Urban")*(Working_Data!$B:$B=$F13)*(Working_Data!$C:$C="March"),0))</f>
        <v>136.5</v>
      </c>
      <c r="H13" s="48" cm="1">
        <f t="array" ref="H13">INDEX(Working_Data!$AD:$AD,MATCH(1,(Working_Data!$A:$A="Rural")*(Working_Data!$B:$B=$F13)*(Working_Data!$C:$C="March"),0))</f>
        <v>138.69999999999999</v>
      </c>
      <c r="I13" s="48" cm="1">
        <f t="array" ref="I13">INDEX(Working_Data!$AD:$AD,MATCH(1,(Working_Data!$A:$A="Urban")*(Working_Data!$B:$B=$F13)*(Working_Data!$C:$C="March"),0))</f>
        <v>134</v>
      </c>
      <c r="J13" s="49">
        <f t="shared" ref="J13:J18" si="1">(G13-G12)/G12</f>
        <v>4.278074866310156E-2</v>
      </c>
      <c r="K13" s="49">
        <f t="shared" ref="K13:K18" si="2">(H13-H12)/H12</f>
        <v>4.4427710843373318E-2</v>
      </c>
      <c r="L13" s="51">
        <f t="shared" si="0"/>
        <v>4.1181041181041274E-2</v>
      </c>
      <c r="O13" s="46"/>
    </row>
    <row r="14" spans="5:15" x14ac:dyDescent="0.3">
      <c r="F14" s="93">
        <v>2019</v>
      </c>
      <c r="G14" s="48" cm="1">
        <f t="array" ref="G14">INDEX(Working_Data!$AD:$AD,MATCH(1,(Working_Data!$A:$A="Rural+Urban")*(Working_Data!$B:$B=$F14)*(Working_Data!$C:$C="March"),0))</f>
        <v>140.4</v>
      </c>
      <c r="H14" s="48" cm="1">
        <f t="array" ref="H14">INDEX(Working_Data!$AD:$AD,MATCH(1,(Working_Data!$A:$A="Rural")*(Working_Data!$B:$B=$F14)*(Working_Data!$C:$C="March"),0))</f>
        <v>141.19999999999999</v>
      </c>
      <c r="I14" s="48" cm="1">
        <f t="array" ref="I14">INDEX(Working_Data!$AD:$AD,MATCH(1,(Working_Data!$A:$A="Urban")*(Working_Data!$B:$B=$F14)*(Working_Data!$C:$C="March"),0))</f>
        <v>139.5</v>
      </c>
      <c r="J14" s="49">
        <f t="shared" si="1"/>
        <v>2.8571428571428612E-2</v>
      </c>
      <c r="K14" s="49">
        <f t="shared" si="2"/>
        <v>1.8024513338139873E-2</v>
      </c>
      <c r="L14" s="51">
        <f t="shared" si="0"/>
        <v>4.1044776119402986E-2</v>
      </c>
      <c r="O14" s="46"/>
    </row>
    <row r="15" spans="5:15" x14ac:dyDescent="0.3">
      <c r="F15" s="93">
        <v>2020</v>
      </c>
      <c r="G15" s="48" cm="1">
        <f t="array" ref="G15">INDEX(Working_Data!$AD:$AD,MATCH(1,(Working_Data!$A:$A="Rural+Urban")*(Working_Data!$B:$B=$F15)*(Working_Data!$C:$C="March"),0))</f>
        <v>148.6</v>
      </c>
      <c r="H15" s="48" cm="1">
        <f t="array" ref="H15">INDEX(Working_Data!$AD:$AD,MATCH(1,(Working_Data!$A:$A="Rural")*(Working_Data!$B:$B=$F15)*(Working_Data!$C:$C="March"),0))</f>
        <v>149.80000000000001</v>
      </c>
      <c r="I15" s="48" cm="1">
        <f t="array" ref="I15">INDEX(Working_Data!$AD:$AD,MATCH(1,(Working_Data!$A:$A="Urban")*(Working_Data!$B:$B=$F15)*(Working_Data!$C:$C="March"),0))</f>
        <v>147.30000000000001</v>
      </c>
      <c r="J15" s="49">
        <f t="shared" si="1"/>
        <v>5.840455840455832E-2</v>
      </c>
      <c r="K15" s="49">
        <f t="shared" si="2"/>
        <v>6.090651558073671E-2</v>
      </c>
      <c r="L15" s="51">
        <f t="shared" si="0"/>
        <v>5.5913978494623741E-2</v>
      </c>
    </row>
    <row r="16" spans="5:15" x14ac:dyDescent="0.3">
      <c r="F16" s="93">
        <v>2021</v>
      </c>
      <c r="G16" s="48" cm="1">
        <f t="array" ref="G16">INDEX(Working_Data!$AD:$AD,MATCH(1,(Working_Data!$A:$A="Rural+Urban")*(Working_Data!$B:$B=$F16)*(Working_Data!$C:$C="March"),0))</f>
        <v>156.80000000000001</v>
      </c>
      <c r="H16" s="48" cm="1">
        <f t="array" ref="H16">INDEX(Working_Data!$AD:$AD,MATCH(1,(Working_Data!$A:$A="Rural")*(Working_Data!$B:$B=$F16)*(Working_Data!$C:$C="March"),0))</f>
        <v>156.69999999999999</v>
      </c>
      <c r="I16" s="48" cm="1">
        <f t="array" ref="I16">INDEX(Working_Data!$AD:$AD,MATCH(1,(Working_Data!$A:$A="Urban")*(Working_Data!$B:$B=$F16)*(Working_Data!$C:$C="March"),0))</f>
        <v>156.9</v>
      </c>
      <c r="J16" s="49">
        <f t="shared" si="1"/>
        <v>5.5181695827725558E-2</v>
      </c>
      <c r="K16" s="49">
        <f t="shared" si="2"/>
        <v>4.6061415220293569E-2</v>
      </c>
      <c r="L16" s="51">
        <f t="shared" si="0"/>
        <v>6.5173116089612987E-2</v>
      </c>
    </row>
    <row r="17" spans="6:13" x14ac:dyDescent="0.3">
      <c r="F17" s="93">
        <v>2022</v>
      </c>
      <c r="G17" s="48" cm="1">
        <f t="array" ref="G17">INDEX(Working_Data!$AD:$AD,MATCH(1,(Working_Data!$A:$A="Rural+Urban")*(Working_Data!$B:$B=$F17)*(Working_Data!$C:$C="March"),0))</f>
        <v>167.7</v>
      </c>
      <c r="H17" s="48" cm="1">
        <f t="array" ref="H17">INDEX(Working_Data!$AD:$AD,MATCH(1,(Working_Data!$A:$A="Rural")*(Working_Data!$B:$B=$F17)*(Working_Data!$C:$C="March"),0))</f>
        <v>168.7</v>
      </c>
      <c r="I17" s="48" cm="1">
        <f t="array" ref="I17">INDEX(Working_Data!$AD:$AD,MATCH(1,(Working_Data!$A:$A="Urban")*(Working_Data!$B:$B=$F17)*(Working_Data!$C:$C="March"),0))</f>
        <v>166.5</v>
      </c>
      <c r="J17" s="49">
        <f t="shared" si="1"/>
        <v>6.9515306122448828E-2</v>
      </c>
      <c r="K17" s="49">
        <f t="shared" si="2"/>
        <v>7.6579451180599875E-2</v>
      </c>
      <c r="L17" s="51">
        <f t="shared" si="0"/>
        <v>6.1185468451242793E-2</v>
      </c>
    </row>
    <row r="18" spans="6:13" ht="15" thickBot="1" x14ac:dyDescent="0.35">
      <c r="F18" s="94">
        <v>2023</v>
      </c>
      <c r="G18" s="52" cm="1">
        <f t="array" ref="G18">INDEX(Working_Data!$AD:$AD,MATCH(1,(Working_Data!$A:$A="Rural+Urban")*(Working_Data!$B:$B=$F18)*(Working_Data!$C:$C="March"),0))</f>
        <v>177.2</v>
      </c>
      <c r="H18" s="52" cm="1">
        <f t="array" ref="H18">INDEX(Working_Data!$AD:$AD,MATCH(1,(Working_Data!$A:$A="Rural")*(Working_Data!$B:$B=$F18)*(Working_Data!$C:$C="March"),0))</f>
        <v>178</v>
      </c>
      <c r="I18" s="52" cm="1">
        <f t="array" ref="I18">INDEX(Working_Data!$AD:$AD,MATCH(1,(Working_Data!$A:$A="Urban")*(Working_Data!$B:$B=$F18)*(Working_Data!$C:$C="March"),0))</f>
        <v>176.3</v>
      </c>
      <c r="J18" s="49">
        <f t="shared" si="1"/>
        <v>5.6648777579010143E-2</v>
      </c>
      <c r="K18" s="53">
        <f t="shared" si="2"/>
        <v>5.5127445168939013E-2</v>
      </c>
      <c r="L18" s="54">
        <f t="shared" si="0"/>
        <v>5.8858858858858928E-2</v>
      </c>
    </row>
    <row r="19" spans="6:13" ht="14.4" customHeight="1" x14ac:dyDescent="0.3">
      <c r="F19" s="220" t="s">
        <v>74</v>
      </c>
      <c r="G19" s="221"/>
      <c r="H19" s="221"/>
      <c r="I19" s="221"/>
      <c r="J19" s="221"/>
      <c r="K19" s="221"/>
      <c r="L19" s="221"/>
      <c r="M19" s="222"/>
    </row>
    <row r="20" spans="6:13" ht="13.2" customHeight="1" thickBot="1" x14ac:dyDescent="0.35">
      <c r="F20" s="223"/>
      <c r="G20" s="224"/>
      <c r="H20" s="224"/>
      <c r="I20" s="224"/>
      <c r="J20" s="224"/>
      <c r="K20" s="224"/>
      <c r="L20" s="224"/>
      <c r="M20" s="225"/>
    </row>
    <row r="21" spans="6:13" ht="15" hidden="1" customHeight="1" thickBot="1" x14ac:dyDescent="0.35">
      <c r="F21" s="226"/>
      <c r="G21" s="227"/>
      <c r="H21" s="227"/>
      <c r="I21" s="227"/>
      <c r="J21" s="227"/>
      <c r="K21" s="227"/>
      <c r="L21" s="227"/>
      <c r="M21" s="228"/>
    </row>
    <row r="22" spans="6:13" ht="12.6" customHeight="1" x14ac:dyDescent="0.3">
      <c r="F22" s="211" t="s">
        <v>80</v>
      </c>
      <c r="G22" s="212"/>
      <c r="H22" s="212"/>
      <c r="I22" s="212"/>
      <c r="J22" s="212"/>
      <c r="K22" s="212"/>
      <c r="L22" s="212"/>
      <c r="M22" s="213"/>
    </row>
    <row r="23" spans="6:13" x14ac:dyDescent="0.3">
      <c r="F23" s="214"/>
      <c r="G23" s="215"/>
      <c r="H23" s="215"/>
      <c r="I23" s="215"/>
      <c r="J23" s="215"/>
      <c r="K23" s="215"/>
      <c r="L23" s="215"/>
      <c r="M23" s="216"/>
    </row>
    <row r="24" spans="6:13" x14ac:dyDescent="0.3">
      <c r="F24" s="214"/>
      <c r="G24" s="215"/>
      <c r="H24" s="215"/>
      <c r="I24" s="215"/>
      <c r="J24" s="215"/>
      <c r="K24" s="215"/>
      <c r="L24" s="215"/>
      <c r="M24" s="216"/>
    </row>
    <row r="25" spans="6:13" x14ac:dyDescent="0.3">
      <c r="F25" s="214"/>
      <c r="G25" s="215"/>
      <c r="H25" s="215"/>
      <c r="I25" s="215"/>
      <c r="J25" s="215"/>
      <c r="K25" s="215"/>
      <c r="L25" s="215"/>
      <c r="M25" s="216"/>
    </row>
    <row r="26" spans="6:13" x14ac:dyDescent="0.3">
      <c r="F26" s="214"/>
      <c r="G26" s="215"/>
      <c r="H26" s="215"/>
      <c r="I26" s="215"/>
      <c r="J26" s="215"/>
      <c r="K26" s="215"/>
      <c r="L26" s="215"/>
      <c r="M26" s="216"/>
    </row>
    <row r="27" spans="6:13" ht="50.4" customHeight="1" thickBot="1" x14ac:dyDescent="0.35">
      <c r="F27" s="217"/>
      <c r="G27" s="218"/>
      <c r="H27" s="218"/>
      <c r="I27" s="218"/>
      <c r="J27" s="218"/>
      <c r="K27" s="218"/>
      <c r="L27" s="218"/>
      <c r="M27" s="219"/>
    </row>
    <row r="28" spans="6:13" x14ac:dyDescent="0.3">
      <c r="F28" s="55"/>
      <c r="G28" s="55"/>
      <c r="H28" s="55"/>
      <c r="I28" s="55"/>
      <c r="J28" s="55"/>
      <c r="K28" s="55"/>
      <c r="L28" s="55"/>
      <c r="M28" s="55"/>
    </row>
    <row r="29" spans="6:13" x14ac:dyDescent="0.3">
      <c r="F29" s="2"/>
      <c r="G29" s="2"/>
      <c r="H29" s="2"/>
      <c r="I29" s="2"/>
      <c r="J29" s="2"/>
      <c r="K29" s="2"/>
      <c r="L29" s="2"/>
      <c r="M29" s="2"/>
    </row>
    <row r="30" spans="6:13" x14ac:dyDescent="0.3">
      <c r="F30" s="2"/>
      <c r="G30" s="2"/>
      <c r="H30" s="2"/>
      <c r="I30" s="2"/>
      <c r="J30" s="2"/>
      <c r="K30" s="2"/>
      <c r="L30" s="2"/>
      <c r="M30" s="2"/>
    </row>
    <row r="31" spans="6:13" x14ac:dyDescent="0.3">
      <c r="F31" s="2"/>
      <c r="G31" s="2"/>
      <c r="H31" s="2"/>
      <c r="I31" s="2"/>
      <c r="J31" s="2"/>
      <c r="K31" s="2"/>
      <c r="L31" s="2"/>
      <c r="M31" s="2"/>
    </row>
    <row r="32" spans="6:13" x14ac:dyDescent="0.3">
      <c r="F32" s="2"/>
      <c r="G32" s="2"/>
      <c r="H32" s="2"/>
      <c r="I32" s="2"/>
      <c r="J32" s="2"/>
      <c r="K32" s="2"/>
      <c r="L32" s="2"/>
      <c r="M32" s="2"/>
    </row>
  </sheetData>
  <mergeCells count="2">
    <mergeCell ref="F22:M27"/>
    <mergeCell ref="F19:M21"/>
  </mergeCells>
  <conditionalFormatting sqref="J11:J18">
    <cfRule type="colorScale" priority="3">
      <colorScale>
        <cfvo type="min"/>
        <cfvo type="percentile" val="50"/>
        <cfvo type="max"/>
        <color rgb="FF63BE7B"/>
        <color rgb="FFFFEB84"/>
        <color rgb="FFF8696B"/>
      </colorScale>
    </cfRule>
  </conditionalFormatting>
  <conditionalFormatting sqref="K12:K18">
    <cfRule type="colorScale" priority="2">
      <colorScale>
        <cfvo type="min"/>
        <cfvo type="percentile" val="50"/>
        <cfvo type="max"/>
        <color rgb="FF63BE7B"/>
        <color rgb="FFFFEB84"/>
        <color rgb="FFF8696B"/>
      </colorScale>
    </cfRule>
  </conditionalFormatting>
  <conditionalFormatting sqref="L11:L18">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97F22-4D23-4490-B5A0-66C4D239D8FD}">
  <dimension ref="A4:W52"/>
  <sheetViews>
    <sheetView showGridLines="0" topLeftCell="A40" workbookViewId="0">
      <selection activeCell="K50" sqref="K50:U52"/>
    </sheetView>
  </sheetViews>
  <sheetFormatPr defaultRowHeight="14.4" x14ac:dyDescent="0.3"/>
  <cols>
    <col min="3" max="3" width="14.109375" customWidth="1"/>
    <col min="4" max="4" width="8.6640625" customWidth="1"/>
    <col min="6" max="6" width="12.21875" customWidth="1"/>
    <col min="9" max="9" width="14.33203125" bestFit="1" customWidth="1"/>
    <col min="13" max="13" width="10.77734375" customWidth="1"/>
    <col min="16" max="16" width="10.6640625" bestFit="1" customWidth="1"/>
  </cols>
  <sheetData>
    <row r="4" spans="1:20" ht="15" thickBot="1" x14ac:dyDescent="0.35"/>
    <row r="5" spans="1:20" ht="21.6" thickBot="1" x14ac:dyDescent="0.45">
      <c r="A5" s="89"/>
      <c r="B5" s="90"/>
      <c r="C5" s="90"/>
      <c r="D5" s="90"/>
      <c r="E5" s="91" t="s">
        <v>83</v>
      </c>
      <c r="F5" s="90"/>
      <c r="G5" s="90"/>
      <c r="H5" s="90"/>
      <c r="I5" s="91"/>
      <c r="J5" s="91"/>
      <c r="K5" s="91"/>
      <c r="L5" s="91"/>
      <c r="M5" s="91"/>
      <c r="N5" s="90"/>
      <c r="O5" s="90"/>
      <c r="P5" s="92"/>
    </row>
    <row r="6" spans="1:20" s="2" customFormat="1" ht="57.6" x14ac:dyDescent="0.3">
      <c r="A6" s="79" t="s">
        <v>2</v>
      </c>
      <c r="B6" s="79" t="s">
        <v>1</v>
      </c>
      <c r="C6" s="79" t="s">
        <v>3</v>
      </c>
      <c r="D6" s="79" t="s">
        <v>4</v>
      </c>
      <c r="E6" s="79" t="s">
        <v>5</v>
      </c>
      <c r="F6" s="79" t="s">
        <v>6</v>
      </c>
      <c r="G6" s="79" t="s">
        <v>7</v>
      </c>
      <c r="H6" s="79" t="s">
        <v>8</v>
      </c>
      <c r="I6" s="79" t="s">
        <v>9</v>
      </c>
      <c r="J6" s="79" t="s">
        <v>10</v>
      </c>
      <c r="K6" s="79" t="s">
        <v>11</v>
      </c>
      <c r="L6" s="79" t="s">
        <v>12</v>
      </c>
      <c r="M6" s="79" t="s">
        <v>13</v>
      </c>
      <c r="N6" s="79" t="s">
        <v>15</v>
      </c>
      <c r="O6" s="79" t="s">
        <v>75</v>
      </c>
      <c r="P6" s="80" t="s">
        <v>76</v>
      </c>
    </row>
    <row r="7" spans="1:20" x14ac:dyDescent="0.3">
      <c r="A7" s="81" t="s">
        <v>39</v>
      </c>
      <c r="B7" s="82">
        <v>2022</v>
      </c>
      <c r="C7" s="82" cm="1">
        <f t="array" ref="C7">INDEX(Working_Data!$D:$AZ,MATCH(1,(Working_Data!$A:$A="Rural+Urban")*(Working_Data!$B:$B=$B7)*(Working_Data!$C:$C=$A7),0),MATCH(C$6,Working_Data!$D$1:$AZ$1,0))</f>
        <v>155</v>
      </c>
      <c r="D7" s="82" cm="1">
        <f t="array" ref="D7">INDEX(Working_Data!$D:$AZ,MATCH(1,(Working_Data!$A:$A="Rural+Urban")*(Working_Data!$B:$B=$B7)*(Working_Data!$C:$C=$A7),0),MATCH(D$6,Working_Data!$D$1:$AZ$1,0))</f>
        <v>219.4</v>
      </c>
      <c r="E7" s="82" cm="1">
        <f t="array" ref="E7">INDEX(Working_Data!$D:$AZ,MATCH(1,(Working_Data!$A:$A="Rural+Urban")*(Working_Data!$B:$B=$B7)*(Working_Data!$C:$C=$A7),0),MATCH(E$6,Working_Data!$D$1:$AZ$1,0))</f>
        <v>170.8</v>
      </c>
      <c r="F7" s="82" cm="1">
        <f t="array" ref="F7">INDEX(Working_Data!$D:$AZ,MATCH(1,(Working_Data!$A:$A="Rural+Urban")*(Working_Data!$B:$B=$B7)*(Working_Data!$C:$C=$A7),0),MATCH(F$6,Working_Data!$D$1:$AZ$1,0))</f>
        <v>165.8</v>
      </c>
      <c r="G7" s="82" cm="1">
        <f t="array" ref="G7">INDEX(Working_Data!$D:$AZ,MATCH(1,(Working_Data!$A:$A="Rural+Urban")*(Working_Data!$B:$B=$B7)*(Working_Data!$C:$C=$A7),0),MATCH(G$6,Working_Data!$D$1:$AZ$1,0))</f>
        <v>200.9</v>
      </c>
      <c r="H7" s="82" cm="1">
        <f t="array" ref="H7">INDEX(Working_Data!$D:$AZ,MATCH(1,(Working_Data!$A:$A="Rural+Urban")*(Working_Data!$B:$B=$B7)*(Working_Data!$C:$C=$A7),0),MATCH(H$6,Working_Data!$D$1:$AZ$1,0))</f>
        <v>169.7</v>
      </c>
      <c r="I7" s="82" cm="1">
        <f t="array" ref="I7">INDEX(Working_Data!$D:$AZ,MATCH(1,(Working_Data!$A:$A="Rural+Urban")*(Working_Data!$B:$B=$B7)*(Working_Data!$C:$C=$A7),0),MATCH(I$6,Working_Data!$D$1:$AZ$1,0))</f>
        <v>182.3</v>
      </c>
      <c r="J7" s="82" cm="1">
        <f t="array" ref="J7">INDEX(Working_Data!$D:$AZ,MATCH(1,(Working_Data!$A:$A="Rural+Urban")*(Working_Data!$B:$B=$B7)*(Working_Data!$C:$C=$A7),0),MATCH(J$6,Working_Data!$D$1:$AZ$1,0))</f>
        <v>164.3</v>
      </c>
      <c r="K7" s="82" cm="1">
        <f t="array" ref="K7">INDEX(Working_Data!$D:$AZ,MATCH(1,(Working_Data!$A:$A="Rural+Urban")*(Working_Data!$B:$B=$B7)*(Working_Data!$C:$C=$A7),0),MATCH(K$6,Working_Data!$D$1:$AZ$1,0))</f>
        <v>119.9</v>
      </c>
      <c r="L7" s="82" cm="1">
        <f t="array" ref="L7">INDEX(Working_Data!$D:$AZ,MATCH(1,(Working_Data!$A:$A="Rural+Urban")*(Working_Data!$B:$B=$B7)*(Working_Data!$C:$C=$A7),0),MATCH(L$6,Working_Data!$D$1:$AZ$1,0))</f>
        <v>187.1</v>
      </c>
      <c r="M7" s="82" cm="1">
        <f t="array" ref="M7">INDEX(Working_Data!$D:$AZ,MATCH(1,(Working_Data!$A:$A="Rural+Urban")*(Working_Data!$B:$B=$B7)*(Working_Data!$C:$C=$A7),0),MATCH(M$6,Working_Data!$D$1:$AZ$1,0))</f>
        <v>167.9</v>
      </c>
      <c r="N7" s="82" cm="1">
        <f t="array" ref="N7">INDEX(Working_Data!$D:$AZ,MATCH(1,(Working_Data!$A:$A="Rural+Urban")*(Working_Data!$B:$B=$B7)*(Working_Data!$C:$C=$A7),0),MATCH(N$6,Working_Data!$D$1:$AZ$1,0))</f>
        <v>174.9</v>
      </c>
      <c r="O7" s="82">
        <f>SUM(C7:N7)</f>
        <v>2078</v>
      </c>
      <c r="P7" s="85" t="s">
        <v>47</v>
      </c>
    </row>
    <row r="8" spans="1:20" x14ac:dyDescent="0.3">
      <c r="A8" s="81" t="s">
        <v>40</v>
      </c>
      <c r="B8" s="82">
        <v>2022</v>
      </c>
      <c r="C8" s="82" cm="1">
        <f t="array" ref="C8">INDEX(Working_Data!$D:$AZ,MATCH(1,(Working_Data!$A:$A="Rural+Urban")*(Working_Data!$B:$B=$B8)*(Working_Data!$C:$C=$A8),0),MATCH(C$6,Working_Data!$D$1:$AZ$1,0))</f>
        <v>156.5</v>
      </c>
      <c r="D8" s="82" cm="1">
        <f t="array" ref="D8">INDEX(Working_Data!$D:$AZ,MATCH(1,(Working_Data!$A:$A="Rural+Urban")*(Working_Data!$B:$B=$B8)*(Working_Data!$C:$C=$A8),0),MATCH(D$6,Working_Data!$D$1:$AZ$1,0))</f>
        <v>213</v>
      </c>
      <c r="E8" s="82" cm="1">
        <f t="array" ref="E8">INDEX(Working_Data!$D:$AZ,MATCH(1,(Working_Data!$A:$A="Rural+Urban")*(Working_Data!$B:$B=$B8)*(Working_Data!$C:$C=$A8),0),MATCH(E$6,Working_Data!$D$1:$AZ$1,0))</f>
        <v>175.2</v>
      </c>
      <c r="F8" s="82" cm="1">
        <f t="array" ref="F8">INDEX(Working_Data!$D:$AZ,MATCH(1,(Working_Data!$A:$A="Rural+Urban")*(Working_Data!$B:$B=$B8)*(Working_Data!$C:$C=$A8),0),MATCH(F$6,Working_Data!$D$1:$AZ$1,0))</f>
        <v>166.6</v>
      </c>
      <c r="G8" s="82" cm="1">
        <f t="array" ref="G8">INDEX(Working_Data!$D:$AZ,MATCH(1,(Working_Data!$A:$A="Rural+Urban")*(Working_Data!$B:$B=$B8)*(Working_Data!$C:$C=$A8),0),MATCH(G$6,Working_Data!$D$1:$AZ$1,0))</f>
        <v>195.8</v>
      </c>
      <c r="H8" s="82" cm="1">
        <f t="array" ref="H8">INDEX(Working_Data!$D:$AZ,MATCH(1,(Working_Data!$A:$A="Rural+Urban")*(Working_Data!$B:$B=$B8)*(Working_Data!$C:$C=$A8),0),MATCH(H$6,Working_Data!$D$1:$AZ$1,0))</f>
        <v>174.2</v>
      </c>
      <c r="I8" s="82" cm="1">
        <f t="array" ref="I8">INDEX(Working_Data!$D:$AZ,MATCH(1,(Working_Data!$A:$A="Rural+Urban")*(Working_Data!$B:$B=$B8)*(Working_Data!$C:$C=$A8),0),MATCH(I$6,Working_Data!$D$1:$AZ$1,0))</f>
        <v>182.1</v>
      </c>
      <c r="J8" s="82" cm="1">
        <f t="array" ref="J8">INDEX(Working_Data!$D:$AZ,MATCH(1,(Working_Data!$A:$A="Rural+Urban")*(Working_Data!$B:$B=$B8)*(Working_Data!$C:$C=$A8),0),MATCH(J$6,Working_Data!$D$1:$AZ$1,0))</f>
        <v>164.3</v>
      </c>
      <c r="K8" s="82" cm="1">
        <f t="array" ref="K8">INDEX(Working_Data!$D:$AZ,MATCH(1,(Working_Data!$A:$A="Rural+Urban")*(Working_Data!$B:$B=$B8)*(Working_Data!$C:$C=$A8),0),MATCH(K$6,Working_Data!$D$1:$AZ$1,0))</f>
        <v>120</v>
      </c>
      <c r="L8" s="82" cm="1">
        <f t="array" ref="L8">INDEX(Working_Data!$D:$AZ,MATCH(1,(Working_Data!$A:$A="Rural+Urban")*(Working_Data!$B:$B=$B8)*(Working_Data!$C:$C=$A8),0),MATCH(L$6,Working_Data!$D$1:$AZ$1,0))</f>
        <v>190</v>
      </c>
      <c r="M8" s="82" cm="1">
        <f t="array" ref="M8">INDEX(Working_Data!$D:$AZ,MATCH(1,(Working_Data!$A:$A="Rural+Urban")*(Working_Data!$B:$B=$B8)*(Working_Data!$C:$C=$A8),0),MATCH(M$6,Working_Data!$D$1:$AZ$1,0))</f>
        <v>168.4</v>
      </c>
      <c r="N8" s="82" cm="1">
        <f t="array" ref="N8">INDEX(Working_Data!$D:$AZ,MATCH(1,(Working_Data!$A:$A="Rural+Urban")*(Working_Data!$B:$B=$B8)*(Working_Data!$C:$C=$A8),0),MATCH(N$6,Working_Data!$D$1:$AZ$1,0))</f>
        <v>175</v>
      </c>
      <c r="O8" s="82">
        <f t="shared" ref="O8:O18" si="0">SUM(C8:N8)</f>
        <v>2081.1000000000004</v>
      </c>
      <c r="P8" s="86">
        <f>(O8-O7)/O7</f>
        <v>1.4918190567855456E-3</v>
      </c>
    </row>
    <row r="9" spans="1:20" x14ac:dyDescent="0.3">
      <c r="A9" s="81" t="s">
        <v>41</v>
      </c>
      <c r="B9" s="82">
        <v>2022</v>
      </c>
      <c r="C9" s="82" cm="1">
        <f t="array" ref="C9">INDEX(Working_Data!$D:$AZ,MATCH(1,(Working_Data!$A:$A="Rural+Urban")*(Working_Data!$B:$B=$B9)*(Working_Data!$C:$C=$A9),0),MATCH(C$6,Working_Data!$D$1:$AZ$1,0))</f>
        <v>160.30000000000001</v>
      </c>
      <c r="D9" s="82" cm="1">
        <f t="array" ref="D9">INDEX(Working_Data!$D:$AZ,MATCH(1,(Working_Data!$A:$A="Rural+Urban")*(Working_Data!$B:$B=$B9)*(Working_Data!$C:$C=$A9),0),MATCH(D$6,Working_Data!$D$1:$AZ$1,0))</f>
        <v>206.5</v>
      </c>
      <c r="E9" s="82" cm="1">
        <f t="array" ref="E9">INDEX(Working_Data!$D:$AZ,MATCH(1,(Working_Data!$A:$A="Rural+Urban")*(Working_Data!$B:$B=$B9)*(Working_Data!$C:$C=$A9),0),MATCH(E$6,Working_Data!$D$1:$AZ$1,0))</f>
        <v>169.2</v>
      </c>
      <c r="F9" s="82" cm="1">
        <f t="array" ref="F9">INDEX(Working_Data!$D:$AZ,MATCH(1,(Working_Data!$A:$A="Rural+Urban")*(Working_Data!$B:$B=$B9)*(Working_Data!$C:$C=$A9),0),MATCH(F$6,Working_Data!$D$1:$AZ$1,0))</f>
        <v>168.1</v>
      </c>
      <c r="G9" s="82" cm="1">
        <f t="array" ref="G9">INDEX(Working_Data!$D:$AZ,MATCH(1,(Working_Data!$A:$A="Rural+Urban")*(Working_Data!$B:$B=$B9)*(Working_Data!$C:$C=$A9),0),MATCH(G$6,Working_Data!$D$1:$AZ$1,0))</f>
        <v>192.4</v>
      </c>
      <c r="H9" s="82" cm="1">
        <f t="array" ref="H9">INDEX(Working_Data!$D:$AZ,MATCH(1,(Working_Data!$A:$A="Rural+Urban")*(Working_Data!$B:$B=$B9)*(Working_Data!$C:$C=$A9),0),MATCH(H$6,Working_Data!$D$1:$AZ$1,0))</f>
        <v>172.9</v>
      </c>
      <c r="I9" s="82" cm="1">
        <f t="array" ref="I9">INDEX(Working_Data!$D:$AZ,MATCH(1,(Working_Data!$A:$A="Rural+Urban")*(Working_Data!$B:$B=$B9)*(Working_Data!$C:$C=$A9),0),MATCH(I$6,Working_Data!$D$1:$AZ$1,0))</f>
        <v>186.7</v>
      </c>
      <c r="J9" s="82" cm="1">
        <f t="array" ref="J9">INDEX(Working_Data!$D:$AZ,MATCH(1,(Working_Data!$A:$A="Rural+Urban")*(Working_Data!$B:$B=$B9)*(Working_Data!$C:$C=$A9),0),MATCH(J$6,Working_Data!$D$1:$AZ$1,0))</f>
        <v>167.2</v>
      </c>
      <c r="K9" s="82" cm="1">
        <f t="array" ref="K9">INDEX(Working_Data!$D:$AZ,MATCH(1,(Working_Data!$A:$A="Rural+Urban")*(Working_Data!$B:$B=$B9)*(Working_Data!$C:$C=$A9),0),MATCH(K$6,Working_Data!$D$1:$AZ$1,0))</f>
        <v>120.9</v>
      </c>
      <c r="L9" s="82" cm="1">
        <f t="array" ref="L9">INDEX(Working_Data!$D:$AZ,MATCH(1,(Working_Data!$A:$A="Rural+Urban")*(Working_Data!$B:$B=$B9)*(Working_Data!$C:$C=$A9),0),MATCH(L$6,Working_Data!$D$1:$AZ$1,0))</f>
        <v>193.6</v>
      </c>
      <c r="M9" s="82" cm="1">
        <f t="array" ref="M9">INDEX(Working_Data!$D:$AZ,MATCH(1,(Working_Data!$A:$A="Rural+Urban")*(Working_Data!$B:$B=$B9)*(Working_Data!$C:$C=$A9),0),MATCH(M$6,Working_Data!$D$1:$AZ$1,0))</f>
        <v>168.8</v>
      </c>
      <c r="N9" s="82" cm="1">
        <f t="array" ref="N9">INDEX(Working_Data!$D:$AZ,MATCH(1,(Working_Data!$A:$A="Rural+Urban")*(Working_Data!$B:$B=$B9)*(Working_Data!$C:$C=$A9),0),MATCH(N$6,Working_Data!$D$1:$AZ$1,0))</f>
        <v>176.3</v>
      </c>
      <c r="O9" s="82">
        <f t="shared" si="0"/>
        <v>2082.9</v>
      </c>
      <c r="P9" s="86">
        <f t="shared" ref="P9:P18" si="1">(O9-O8)/O8</f>
        <v>8.6492720196037045E-4</v>
      </c>
      <c r="S9" s="46"/>
      <c r="T9" s="46"/>
    </row>
    <row r="10" spans="1:20" x14ac:dyDescent="0.3">
      <c r="A10" s="81" t="s">
        <v>42</v>
      </c>
      <c r="B10" s="82">
        <v>2022</v>
      </c>
      <c r="C10" s="82" cm="1">
        <f t="array" ref="C10">INDEX(Working_Data!$D:$AZ,MATCH(1,(Working_Data!$A:$A="Rural+Urban")*(Working_Data!$B:$B=$B10)*(Working_Data!$C:$C=$A10),0),MATCH(C$6,Working_Data!$D$1:$AZ$1,0))</f>
        <v>163.5</v>
      </c>
      <c r="D10" s="82" cm="1">
        <f t="array" ref="D10">INDEX(Working_Data!$D:$AZ,MATCH(1,(Working_Data!$A:$A="Rural+Urban")*(Working_Data!$B:$B=$B10)*(Working_Data!$C:$C=$A10),0),MATCH(D$6,Working_Data!$D$1:$AZ$1,0))</f>
        <v>209.2</v>
      </c>
      <c r="E10" s="82" cm="1">
        <f t="array" ref="E10">INDEX(Working_Data!$D:$AZ,MATCH(1,(Working_Data!$A:$A="Rural+Urban")*(Working_Data!$B:$B=$B10)*(Working_Data!$C:$C=$A10),0),MATCH(E$6,Working_Data!$D$1:$AZ$1,0))</f>
        <v>169.7</v>
      </c>
      <c r="F10" s="82" cm="1">
        <f t="array" ref="F10">INDEX(Working_Data!$D:$AZ,MATCH(1,(Working_Data!$A:$A="Rural+Urban")*(Working_Data!$B:$B=$B10)*(Working_Data!$C:$C=$A10),0),MATCH(F$6,Working_Data!$D$1:$AZ$1,0))</f>
        <v>169.7</v>
      </c>
      <c r="G10" s="82" cm="1">
        <f t="array" ref="G10">INDEX(Working_Data!$D:$AZ,MATCH(1,(Working_Data!$A:$A="Rural+Urban")*(Working_Data!$B:$B=$B10)*(Working_Data!$C:$C=$A10),0),MATCH(G$6,Working_Data!$D$1:$AZ$1,0))</f>
        <v>188.7</v>
      </c>
      <c r="H10" s="82" cm="1">
        <f t="array" ref="H10">INDEX(Working_Data!$D:$AZ,MATCH(1,(Working_Data!$A:$A="Rural+Urban")*(Working_Data!$B:$B=$B10)*(Working_Data!$C:$C=$A10),0),MATCH(H$6,Working_Data!$D$1:$AZ$1,0))</f>
        <v>165.7</v>
      </c>
      <c r="I10" s="82" cm="1">
        <f t="array" ref="I10">INDEX(Working_Data!$D:$AZ,MATCH(1,(Working_Data!$A:$A="Rural+Urban")*(Working_Data!$B:$B=$B10)*(Working_Data!$C:$C=$A10),0),MATCH(I$6,Working_Data!$D$1:$AZ$1,0))</f>
        <v>191.8</v>
      </c>
      <c r="J10" s="82" cm="1">
        <f t="array" ref="J10">INDEX(Working_Data!$D:$AZ,MATCH(1,(Working_Data!$A:$A="Rural+Urban")*(Working_Data!$B:$B=$B10)*(Working_Data!$C:$C=$A10),0),MATCH(J$6,Working_Data!$D$1:$AZ$1,0))</f>
        <v>169.1</v>
      </c>
      <c r="K10" s="82" cm="1">
        <f t="array" ref="K10">INDEX(Working_Data!$D:$AZ,MATCH(1,(Working_Data!$A:$A="Rural+Urban")*(Working_Data!$B:$B=$B10)*(Working_Data!$C:$C=$A10),0),MATCH(K$6,Working_Data!$D$1:$AZ$1,0))</f>
        <v>121.6</v>
      </c>
      <c r="L10" s="82" cm="1">
        <f t="array" ref="L10">INDEX(Working_Data!$D:$AZ,MATCH(1,(Working_Data!$A:$A="Rural+Urban")*(Working_Data!$B:$B=$B10)*(Working_Data!$C:$C=$A10),0),MATCH(L$6,Working_Data!$D$1:$AZ$1,0))</f>
        <v>197.3</v>
      </c>
      <c r="M10" s="82" cm="1">
        <f t="array" ref="M10">INDEX(Working_Data!$D:$AZ,MATCH(1,(Working_Data!$A:$A="Rural+Urban")*(Working_Data!$B:$B=$B10)*(Working_Data!$C:$C=$A10),0),MATCH(M$6,Working_Data!$D$1:$AZ$1,0))</f>
        <v>169.4</v>
      </c>
      <c r="N10" s="82" cm="1">
        <f t="array" ref="N10">INDEX(Working_Data!$D:$AZ,MATCH(1,(Working_Data!$A:$A="Rural+Urban")*(Working_Data!$B:$B=$B10)*(Working_Data!$C:$C=$A10),0),MATCH(N$6,Working_Data!$D$1:$AZ$1,0))</f>
        <v>177.8</v>
      </c>
      <c r="O10" s="82">
        <f t="shared" si="0"/>
        <v>2093.5</v>
      </c>
      <c r="P10" s="86">
        <f t="shared" si="1"/>
        <v>5.0890585241729841E-3</v>
      </c>
    </row>
    <row r="11" spans="1:20" x14ac:dyDescent="0.3">
      <c r="A11" s="81" t="s">
        <v>43</v>
      </c>
      <c r="B11" s="82">
        <v>2022</v>
      </c>
      <c r="C11" s="82" cm="1">
        <f t="array" ref="C11">INDEX(Working_Data!$D:$AZ,MATCH(1,(Working_Data!$A:$A="Rural+Urban")*(Working_Data!$B:$B=$B11)*(Working_Data!$C:$C=$A11),0),MATCH(C$6,Working_Data!$D$1:$AZ$1,0))</f>
        <v>165.2</v>
      </c>
      <c r="D11" s="82" cm="1">
        <f t="array" ref="D11">INDEX(Working_Data!$D:$AZ,MATCH(1,(Working_Data!$A:$A="Rural+Urban")*(Working_Data!$B:$B=$B11)*(Working_Data!$C:$C=$A11),0),MATCH(D$6,Working_Data!$D$1:$AZ$1,0))</f>
        <v>210.9</v>
      </c>
      <c r="E11" s="82" cm="1">
        <f t="array" ref="E11">INDEX(Working_Data!$D:$AZ,MATCH(1,(Working_Data!$A:$A="Rural+Urban")*(Working_Data!$B:$B=$B11)*(Working_Data!$C:$C=$A11),0),MATCH(E$6,Working_Data!$D$1:$AZ$1,0))</f>
        <v>170.9</v>
      </c>
      <c r="F11" s="82" cm="1">
        <f t="array" ref="F11">INDEX(Working_Data!$D:$AZ,MATCH(1,(Working_Data!$A:$A="Rural+Urban")*(Working_Data!$B:$B=$B11)*(Working_Data!$C:$C=$A11),0),MATCH(F$6,Working_Data!$D$1:$AZ$1,0))</f>
        <v>170.9</v>
      </c>
      <c r="G11" s="82" cm="1">
        <f t="array" ref="G11">INDEX(Working_Data!$D:$AZ,MATCH(1,(Working_Data!$A:$A="Rural+Urban")*(Working_Data!$B:$B=$B11)*(Working_Data!$C:$C=$A11),0),MATCH(G$6,Working_Data!$D$1:$AZ$1,0))</f>
        <v>186.5</v>
      </c>
      <c r="H11" s="82" cm="1">
        <f t="array" ref="H11">INDEX(Working_Data!$D:$AZ,MATCH(1,(Working_Data!$A:$A="Rural+Urban")*(Working_Data!$B:$B=$B11)*(Working_Data!$C:$C=$A11),0),MATCH(H$6,Working_Data!$D$1:$AZ$1,0))</f>
        <v>163.80000000000001</v>
      </c>
      <c r="I11" s="82" cm="1">
        <f t="array" ref="I11">INDEX(Working_Data!$D:$AZ,MATCH(1,(Working_Data!$A:$A="Rural+Urban")*(Working_Data!$B:$B=$B11)*(Working_Data!$C:$C=$A11),0),MATCH(I$6,Working_Data!$D$1:$AZ$1,0))</f>
        <v>199.7</v>
      </c>
      <c r="J11" s="82" cm="1">
        <f t="array" ref="J11">INDEX(Working_Data!$D:$AZ,MATCH(1,(Working_Data!$A:$A="Rural+Urban")*(Working_Data!$B:$B=$B11)*(Working_Data!$C:$C=$A11),0),MATCH(J$6,Working_Data!$D$1:$AZ$1,0))</f>
        <v>169.8</v>
      </c>
      <c r="K11" s="82" cm="1">
        <f t="array" ref="K11">INDEX(Working_Data!$D:$AZ,MATCH(1,(Working_Data!$A:$A="Rural+Urban")*(Working_Data!$B:$B=$B11)*(Working_Data!$C:$C=$A11),0),MATCH(K$6,Working_Data!$D$1:$AZ$1,0))</f>
        <v>121.9</v>
      </c>
      <c r="L11" s="82" cm="1">
        <f t="array" ref="L11">INDEX(Working_Data!$D:$AZ,MATCH(1,(Working_Data!$A:$A="Rural+Urban")*(Working_Data!$B:$B=$B11)*(Working_Data!$C:$C=$A11),0),MATCH(L$6,Working_Data!$D$1:$AZ$1,0))</f>
        <v>199.9</v>
      </c>
      <c r="M11" s="82" cm="1">
        <f t="array" ref="M11">INDEX(Working_Data!$D:$AZ,MATCH(1,(Working_Data!$A:$A="Rural+Urban")*(Working_Data!$B:$B=$B11)*(Working_Data!$C:$C=$A11),0),MATCH(M$6,Working_Data!$D$1:$AZ$1,0))</f>
        <v>169.9</v>
      </c>
      <c r="N11" s="82" cm="1">
        <f t="array" ref="N11">INDEX(Working_Data!$D:$AZ,MATCH(1,(Working_Data!$A:$A="Rural+Urban")*(Working_Data!$B:$B=$B11)*(Working_Data!$C:$C=$A11),0),MATCH(N$6,Working_Data!$D$1:$AZ$1,0))</f>
        <v>179.6</v>
      </c>
      <c r="O11" s="82">
        <f t="shared" si="0"/>
        <v>2109.0000000000005</v>
      </c>
      <c r="P11" s="86">
        <f t="shared" si="1"/>
        <v>7.4038691187009575E-3</v>
      </c>
    </row>
    <row r="12" spans="1:20" x14ac:dyDescent="0.3">
      <c r="A12" s="81" t="s">
        <v>44</v>
      </c>
      <c r="B12" s="82">
        <v>2022</v>
      </c>
      <c r="C12" s="82" cm="1">
        <f t="array" ref="C12">INDEX(Working_Data!$D:$AZ,MATCH(1,(Working_Data!$A:$A="Rural+Urban")*(Working_Data!$B:$B=$B12)*(Working_Data!$C:$C=$A12),0),MATCH(C$6,Working_Data!$D$1:$AZ$1,0))</f>
        <v>167.4</v>
      </c>
      <c r="D12" s="82" cm="1">
        <f t="array" ref="D12">INDEX(Working_Data!$D:$AZ,MATCH(1,(Working_Data!$A:$A="Rural+Urban")*(Working_Data!$B:$B=$B12)*(Working_Data!$C:$C=$A12),0),MATCH(D$6,Working_Data!$D$1:$AZ$1,0))</f>
        <v>209.4</v>
      </c>
      <c r="E12" s="82" cm="1">
        <f t="array" ref="E12">INDEX(Working_Data!$D:$AZ,MATCH(1,(Working_Data!$A:$A="Rural+Urban")*(Working_Data!$B:$B=$B12)*(Working_Data!$C:$C=$A12),0),MATCH(E$6,Working_Data!$D$1:$AZ$1,0))</f>
        <v>181.4</v>
      </c>
      <c r="F12" s="82" cm="1">
        <f t="array" ref="F12">INDEX(Working_Data!$D:$AZ,MATCH(1,(Working_Data!$A:$A="Rural+Urban")*(Working_Data!$B:$B=$B12)*(Working_Data!$C:$C=$A12),0),MATCH(F$6,Working_Data!$D$1:$AZ$1,0))</f>
        <v>172.3</v>
      </c>
      <c r="G12" s="82" cm="1">
        <f t="array" ref="G12">INDEX(Working_Data!$D:$AZ,MATCH(1,(Working_Data!$A:$A="Rural+Urban")*(Working_Data!$B:$B=$B12)*(Working_Data!$C:$C=$A12),0),MATCH(G$6,Working_Data!$D$1:$AZ$1,0))</f>
        <v>188.9</v>
      </c>
      <c r="H12" s="82" cm="1">
        <f t="array" ref="H12">INDEX(Working_Data!$D:$AZ,MATCH(1,(Working_Data!$A:$A="Rural+Urban")*(Working_Data!$B:$B=$B12)*(Working_Data!$C:$C=$A12),0),MATCH(H$6,Working_Data!$D$1:$AZ$1,0))</f>
        <v>160.69999999999999</v>
      </c>
      <c r="I12" s="82" cm="1">
        <f t="array" ref="I12">INDEX(Working_Data!$D:$AZ,MATCH(1,(Working_Data!$A:$A="Rural+Urban")*(Working_Data!$B:$B=$B12)*(Working_Data!$C:$C=$A12),0),MATCH(I$6,Working_Data!$D$1:$AZ$1,0))</f>
        <v>183.1</v>
      </c>
      <c r="J12" s="82" cm="1">
        <f t="array" ref="J12">INDEX(Working_Data!$D:$AZ,MATCH(1,(Working_Data!$A:$A="Rural+Urban")*(Working_Data!$B:$B=$B12)*(Working_Data!$C:$C=$A12),0),MATCH(J$6,Working_Data!$D$1:$AZ$1,0))</f>
        <v>170.5</v>
      </c>
      <c r="K12" s="82" cm="1">
        <f t="array" ref="K12">INDEX(Working_Data!$D:$AZ,MATCH(1,(Working_Data!$A:$A="Rural+Urban")*(Working_Data!$B:$B=$B12)*(Working_Data!$C:$C=$A12),0),MATCH(K$6,Working_Data!$D$1:$AZ$1,0))</f>
        <v>122.1</v>
      </c>
      <c r="L12" s="82" cm="1">
        <f t="array" ref="L12">INDEX(Working_Data!$D:$AZ,MATCH(1,(Working_Data!$A:$A="Rural+Urban")*(Working_Data!$B:$B=$B12)*(Working_Data!$C:$C=$A12),0),MATCH(L$6,Working_Data!$D$1:$AZ$1,0))</f>
        <v>202.8</v>
      </c>
      <c r="M12" s="82" cm="1">
        <f t="array" ref="M12">INDEX(Working_Data!$D:$AZ,MATCH(1,(Working_Data!$A:$A="Rural+Urban")*(Working_Data!$B:$B=$B12)*(Working_Data!$C:$C=$A12),0),MATCH(M$6,Working_Data!$D$1:$AZ$1,0))</f>
        <v>170.4</v>
      </c>
      <c r="N12" s="82" cm="1">
        <f t="array" ref="N12">INDEX(Working_Data!$D:$AZ,MATCH(1,(Working_Data!$A:$A="Rural+Urban")*(Working_Data!$B:$B=$B12)*(Working_Data!$C:$C=$A12),0),MATCH(N$6,Working_Data!$D$1:$AZ$1,0))</f>
        <v>178.3</v>
      </c>
      <c r="O12" s="82">
        <f t="shared" si="0"/>
        <v>2107.2999999999997</v>
      </c>
      <c r="P12" s="86">
        <f t="shared" si="1"/>
        <v>-8.060692271222035E-4</v>
      </c>
    </row>
    <row r="13" spans="1:20" x14ac:dyDescent="0.3">
      <c r="A13" s="81" t="s">
        <v>45</v>
      </c>
      <c r="B13" s="82">
        <v>2022</v>
      </c>
      <c r="C13" s="82" cm="1">
        <f t="array" ref="C13">INDEX(Working_Data!$D:$AZ,MATCH(1,(Working_Data!$A:$A="Rural+Urban")*(Working_Data!$B:$B=$B13)*(Working_Data!$C:$C=$A13),0),MATCH(C$6,Working_Data!$D$1:$AZ$1,0))</f>
        <v>169.2</v>
      </c>
      <c r="D13" s="82" cm="1">
        <f t="array" ref="D13">INDEX(Working_Data!$D:$AZ,MATCH(1,(Working_Data!$A:$A="Rural+Urban")*(Working_Data!$B:$B=$B13)*(Working_Data!$C:$C=$A13),0),MATCH(D$6,Working_Data!$D$1:$AZ$1,0))</f>
        <v>209</v>
      </c>
      <c r="E13" s="82" cm="1">
        <f t="array" ref="E13">INDEX(Working_Data!$D:$AZ,MATCH(1,(Working_Data!$A:$A="Rural+Urban")*(Working_Data!$B:$B=$B13)*(Working_Data!$C:$C=$A13),0),MATCH(E$6,Working_Data!$D$1:$AZ$1,0))</f>
        <v>190.2</v>
      </c>
      <c r="F13" s="82" cm="1">
        <f t="array" ref="F13">INDEX(Working_Data!$D:$AZ,MATCH(1,(Working_Data!$A:$A="Rural+Urban")*(Working_Data!$B:$B=$B13)*(Working_Data!$C:$C=$A13),0),MATCH(F$6,Working_Data!$D$1:$AZ$1,0))</f>
        <v>173.6</v>
      </c>
      <c r="G13" s="82" cm="1">
        <f t="array" ref="G13">INDEX(Working_Data!$D:$AZ,MATCH(1,(Working_Data!$A:$A="Rural+Urban")*(Working_Data!$B:$B=$B13)*(Working_Data!$C:$C=$A13),0),MATCH(G$6,Working_Data!$D$1:$AZ$1,0))</f>
        <v>188.5</v>
      </c>
      <c r="H13" s="82" cm="1">
        <f t="array" ref="H13">INDEX(Working_Data!$D:$AZ,MATCH(1,(Working_Data!$A:$A="Rural+Urban")*(Working_Data!$B:$B=$B13)*(Working_Data!$C:$C=$A13),0),MATCH(H$6,Working_Data!$D$1:$AZ$1,0))</f>
        <v>158</v>
      </c>
      <c r="I13" s="82" cm="1">
        <f t="array" ref="I13">INDEX(Working_Data!$D:$AZ,MATCH(1,(Working_Data!$A:$A="Rural+Urban")*(Working_Data!$B:$B=$B13)*(Working_Data!$C:$C=$A13),0),MATCH(I$6,Working_Data!$D$1:$AZ$1,0))</f>
        <v>159.9</v>
      </c>
      <c r="J13" s="82" cm="1">
        <f t="array" ref="J13">INDEX(Working_Data!$D:$AZ,MATCH(1,(Working_Data!$A:$A="Rural+Urban")*(Working_Data!$B:$B=$B13)*(Working_Data!$C:$C=$A13),0),MATCH(J$6,Working_Data!$D$1:$AZ$1,0))</f>
        <v>170.8</v>
      </c>
      <c r="K13" s="82" cm="1">
        <f t="array" ref="K13">INDEX(Working_Data!$D:$AZ,MATCH(1,(Working_Data!$A:$A="Rural+Urban")*(Working_Data!$B:$B=$B13)*(Working_Data!$C:$C=$A13),0),MATCH(K$6,Working_Data!$D$1:$AZ$1,0))</f>
        <v>121.8</v>
      </c>
      <c r="L13" s="82" cm="1">
        <f t="array" ref="L13">INDEX(Working_Data!$D:$AZ,MATCH(1,(Working_Data!$A:$A="Rural+Urban")*(Working_Data!$B:$B=$B13)*(Working_Data!$C:$C=$A13),0),MATCH(L$6,Working_Data!$D$1:$AZ$1,0))</f>
        <v>205.2</v>
      </c>
      <c r="M13" s="82" cm="1">
        <f t="array" ref="M13">INDEX(Working_Data!$D:$AZ,MATCH(1,(Working_Data!$A:$A="Rural+Urban")*(Working_Data!$B:$B=$B13)*(Working_Data!$C:$C=$A13),0),MATCH(M$6,Working_Data!$D$1:$AZ$1,0))</f>
        <v>171</v>
      </c>
      <c r="N13" s="82" cm="1">
        <f t="array" ref="N13">INDEX(Working_Data!$D:$AZ,MATCH(1,(Working_Data!$A:$A="Rural+Urban")*(Working_Data!$B:$B=$B13)*(Working_Data!$C:$C=$A13),0),MATCH(N$6,Working_Data!$D$1:$AZ$1,0))</f>
        <v>175.9</v>
      </c>
      <c r="O13" s="82">
        <f t="shared" si="0"/>
        <v>2093.1</v>
      </c>
      <c r="P13" s="86">
        <f t="shared" si="1"/>
        <v>-6.7384805200967207E-3</v>
      </c>
    </row>
    <row r="14" spans="1:20" x14ac:dyDescent="0.3">
      <c r="A14" s="81" t="s">
        <v>31</v>
      </c>
      <c r="B14" s="82">
        <v>2023</v>
      </c>
      <c r="C14" s="82" cm="1">
        <f t="array" ref="C14">INDEX(Working_Data!$D:$AZ,MATCH(1,(Working_Data!$A:$A="Rural+Urban")*(Working_Data!$B:$B=$B14)*(Working_Data!$C:$C=$A14),0),MATCH(C$6,Working_Data!$D$1:$AZ$1,0))</f>
        <v>173.8</v>
      </c>
      <c r="D14" s="82" cm="1">
        <f t="array" ref="D14">INDEX(Working_Data!$D:$AZ,MATCH(1,(Working_Data!$A:$A="Rural+Urban")*(Working_Data!$B:$B=$B14)*(Working_Data!$C:$C=$A14),0),MATCH(D$6,Working_Data!$D$1:$AZ$1,0))</f>
        <v>210.7</v>
      </c>
      <c r="E14" s="82" cm="1">
        <f t="array" ref="E14">INDEX(Working_Data!$D:$AZ,MATCH(1,(Working_Data!$A:$A="Rural+Urban")*(Working_Data!$B:$B=$B14)*(Working_Data!$C:$C=$A14),0),MATCH(E$6,Working_Data!$D$1:$AZ$1,0))</f>
        <v>194.5</v>
      </c>
      <c r="F14" s="82" cm="1">
        <f t="array" ref="F14">INDEX(Working_Data!$D:$AZ,MATCH(1,(Working_Data!$A:$A="Rural+Urban")*(Working_Data!$B:$B=$B14)*(Working_Data!$C:$C=$A14),0),MATCH(F$6,Working_Data!$D$1:$AZ$1,0))</f>
        <v>174.6</v>
      </c>
      <c r="G14" s="82" cm="1">
        <f t="array" ref="G14">INDEX(Working_Data!$D:$AZ,MATCH(1,(Working_Data!$A:$A="Rural+Urban")*(Working_Data!$B:$B=$B14)*(Working_Data!$C:$C=$A14),0),MATCH(G$6,Working_Data!$D$1:$AZ$1,0))</f>
        <v>187.2</v>
      </c>
      <c r="H14" s="82" cm="1">
        <f t="array" ref="H14">INDEX(Working_Data!$D:$AZ,MATCH(1,(Working_Data!$A:$A="Rural+Urban")*(Working_Data!$B:$B=$B14)*(Working_Data!$C:$C=$A14),0),MATCH(H$6,Working_Data!$D$1:$AZ$1,0))</f>
        <v>158.30000000000001</v>
      </c>
      <c r="I14" s="82" cm="1">
        <f t="array" ref="I14">INDEX(Working_Data!$D:$AZ,MATCH(1,(Working_Data!$A:$A="Rural+Urban")*(Working_Data!$B:$B=$B14)*(Working_Data!$C:$C=$A14),0),MATCH(I$6,Working_Data!$D$1:$AZ$1,0))</f>
        <v>153.9</v>
      </c>
      <c r="J14" s="82" cm="1">
        <f t="array" ref="J14">INDEX(Working_Data!$D:$AZ,MATCH(1,(Working_Data!$A:$A="Rural+Urban")*(Working_Data!$B:$B=$B14)*(Working_Data!$C:$C=$A14),0),MATCH(J$6,Working_Data!$D$1:$AZ$1,0))</f>
        <v>170.9</v>
      </c>
      <c r="K14" s="82" cm="1">
        <f t="array" ref="K14">INDEX(Working_Data!$D:$AZ,MATCH(1,(Working_Data!$A:$A="Rural+Urban")*(Working_Data!$B:$B=$B14)*(Working_Data!$C:$C=$A14),0),MATCH(K$6,Working_Data!$D$1:$AZ$1,0))</f>
        <v>121.1</v>
      </c>
      <c r="L14" s="82" cm="1">
        <f t="array" ref="L14">INDEX(Working_Data!$D:$AZ,MATCH(1,(Working_Data!$A:$A="Rural+Urban")*(Working_Data!$B:$B=$B14)*(Working_Data!$C:$C=$A14),0),MATCH(L$6,Working_Data!$D$1:$AZ$1,0))</f>
        <v>208.4</v>
      </c>
      <c r="M14" s="82" cm="1">
        <f t="array" ref="M14">INDEX(Working_Data!$D:$AZ,MATCH(1,(Working_Data!$A:$A="Rural+Urban")*(Working_Data!$B:$B=$B14)*(Working_Data!$C:$C=$A14),0),MATCH(M$6,Working_Data!$D$1:$AZ$1,0))</f>
        <v>171.4</v>
      </c>
      <c r="N14" s="82" cm="1">
        <f t="array" ref="N14">INDEX(Working_Data!$D:$AZ,MATCH(1,(Working_Data!$A:$A="Rural+Urban")*(Working_Data!$B:$B=$B14)*(Working_Data!$C:$C=$A14),0),MATCH(N$6,Working_Data!$D$1:$AZ$1,0))</f>
        <v>176.7</v>
      </c>
      <c r="O14" s="82">
        <f t="shared" si="0"/>
        <v>2101.5</v>
      </c>
      <c r="P14" s="86">
        <f t="shared" si="1"/>
        <v>4.0131861831733274E-3</v>
      </c>
    </row>
    <row r="15" spans="1:20" x14ac:dyDescent="0.3">
      <c r="A15" s="81" t="s">
        <v>35</v>
      </c>
      <c r="B15" s="82">
        <v>2023</v>
      </c>
      <c r="C15" s="82" cm="1">
        <f t="array" ref="C15">INDEX(Working_Data!$D:$AZ,MATCH(1,(Working_Data!$A:$A="Rural+Urban")*(Working_Data!$B:$B=$B15)*(Working_Data!$C:$C=$A15),0),MATCH(C$6,Working_Data!$D$1:$AZ$1,0))</f>
        <v>174.4</v>
      </c>
      <c r="D15" s="82" cm="1">
        <f t="array" ref="D15">INDEX(Working_Data!$D:$AZ,MATCH(1,(Working_Data!$A:$A="Rural+Urban")*(Working_Data!$B:$B=$B15)*(Working_Data!$C:$C=$A15),0),MATCH(D$6,Working_Data!$D$1:$AZ$1,0))</f>
        <v>207.7</v>
      </c>
      <c r="E15" s="82" cm="1">
        <f t="array" ref="E15">INDEX(Working_Data!$D:$AZ,MATCH(1,(Working_Data!$A:$A="Rural+Urban")*(Working_Data!$B:$B=$B15)*(Working_Data!$C:$C=$A15),0),MATCH(E$6,Working_Data!$D$1:$AZ$1,0))</f>
        <v>175.2</v>
      </c>
      <c r="F15" s="82" cm="1">
        <f t="array" ref="F15">INDEX(Working_Data!$D:$AZ,MATCH(1,(Working_Data!$A:$A="Rural+Urban")*(Working_Data!$B:$B=$B15)*(Working_Data!$C:$C=$A15),0),MATCH(F$6,Working_Data!$D$1:$AZ$1,0))</f>
        <v>177.3</v>
      </c>
      <c r="G15" s="82" cm="1">
        <f t="array" ref="G15">INDEX(Working_Data!$D:$AZ,MATCH(1,(Working_Data!$A:$A="Rural+Urban")*(Working_Data!$B:$B=$B15)*(Working_Data!$C:$C=$A15),0),MATCH(G$6,Working_Data!$D$1:$AZ$1,0))</f>
        <v>179.3</v>
      </c>
      <c r="H15" s="82" cm="1">
        <f t="array" ref="H15">INDEX(Working_Data!$D:$AZ,MATCH(1,(Working_Data!$A:$A="Rural+Urban")*(Working_Data!$B:$B=$B15)*(Working_Data!$C:$C=$A15),0),MATCH(H$6,Working_Data!$D$1:$AZ$1,0))</f>
        <v>169.5</v>
      </c>
      <c r="I15" s="82" cm="1">
        <f t="array" ref="I15">INDEX(Working_Data!$D:$AZ,MATCH(1,(Working_Data!$A:$A="Rural+Urban")*(Working_Data!$B:$B=$B15)*(Working_Data!$C:$C=$A15),0),MATCH(I$6,Working_Data!$D$1:$AZ$1,0))</f>
        <v>152.69999999999999</v>
      </c>
      <c r="J15" s="82" cm="1">
        <f t="array" ref="J15">INDEX(Working_Data!$D:$AZ,MATCH(1,(Working_Data!$A:$A="Rural+Urban")*(Working_Data!$B:$B=$B15)*(Working_Data!$C:$C=$A15),0),MATCH(J$6,Working_Data!$D$1:$AZ$1,0))</f>
        <v>171</v>
      </c>
      <c r="K15" s="82" cm="1">
        <f t="array" ref="K15">INDEX(Working_Data!$D:$AZ,MATCH(1,(Working_Data!$A:$A="Rural+Urban")*(Working_Data!$B:$B=$B15)*(Working_Data!$C:$C=$A15),0),MATCH(K$6,Working_Data!$D$1:$AZ$1,0))</f>
        <v>120</v>
      </c>
      <c r="L15" s="82" cm="1">
        <f t="array" ref="L15">INDEX(Working_Data!$D:$AZ,MATCH(1,(Working_Data!$A:$A="Rural+Urban")*(Working_Data!$B:$B=$B15)*(Working_Data!$C:$C=$A15),0),MATCH(L$6,Working_Data!$D$1:$AZ$1,0))</f>
        <v>209.7</v>
      </c>
      <c r="M15" s="82" cm="1">
        <f t="array" ref="M15">INDEX(Working_Data!$D:$AZ,MATCH(1,(Working_Data!$A:$A="Rural+Urban")*(Working_Data!$B:$B=$B15)*(Working_Data!$C:$C=$A15),0),MATCH(M$6,Working_Data!$D$1:$AZ$1,0))</f>
        <v>172.3</v>
      </c>
      <c r="N15" s="82" cm="1">
        <f t="array" ref="N15">INDEX(Working_Data!$D:$AZ,MATCH(1,(Working_Data!$A:$A="Rural+Urban")*(Working_Data!$B:$B=$B15)*(Working_Data!$C:$C=$A15),0),MATCH(N$6,Working_Data!$D$1:$AZ$1,0))</f>
        <v>177</v>
      </c>
      <c r="O15" s="82">
        <f t="shared" si="0"/>
        <v>2086.1</v>
      </c>
      <c r="P15" s="86">
        <f t="shared" si="1"/>
        <v>-7.3280989769212903E-3</v>
      </c>
    </row>
    <row r="16" spans="1:20" x14ac:dyDescent="0.3">
      <c r="A16" s="81" t="s">
        <v>36</v>
      </c>
      <c r="B16" s="82">
        <v>2023</v>
      </c>
      <c r="C16" s="82" cm="1">
        <f t="array" ref="C16">INDEX(Working_Data!$D:$AZ,MATCH(1,(Working_Data!$A:$A="Rural+Urban")*(Working_Data!$B:$B=$B16)*(Working_Data!$C:$C=$A16),0),MATCH(C$6,Working_Data!$D$1:$AZ$1,0))</f>
        <v>174.4</v>
      </c>
      <c r="D16" s="82" cm="1">
        <f t="array" ref="D16">INDEX(Working_Data!$D:$AZ,MATCH(1,(Working_Data!$A:$A="Rural+Urban")*(Working_Data!$B:$B=$B16)*(Working_Data!$C:$C=$A16),0),MATCH(D$6,Working_Data!$D$1:$AZ$1,0))</f>
        <v>207.7</v>
      </c>
      <c r="E16" s="82" cm="1">
        <f t="array" ref="E16">INDEX(Working_Data!$D:$AZ,MATCH(1,(Working_Data!$A:$A="Rural+Urban")*(Working_Data!$B:$B=$B16)*(Working_Data!$C:$C=$A16),0),MATCH(E$6,Working_Data!$D$1:$AZ$1,0))</f>
        <v>175.2</v>
      </c>
      <c r="F16" s="82" cm="1">
        <f t="array" ref="F16">INDEX(Working_Data!$D:$AZ,MATCH(1,(Working_Data!$A:$A="Rural+Urban")*(Working_Data!$B:$B=$B16)*(Working_Data!$C:$C=$A16),0),MATCH(F$6,Working_Data!$D$1:$AZ$1,0))</f>
        <v>177.3</v>
      </c>
      <c r="G16" s="82" cm="1">
        <f t="array" ref="G16">INDEX(Working_Data!$D:$AZ,MATCH(1,(Working_Data!$A:$A="Rural+Urban")*(Working_Data!$B:$B=$B16)*(Working_Data!$C:$C=$A16),0),MATCH(G$6,Working_Data!$D$1:$AZ$1,0))</f>
        <v>179.2</v>
      </c>
      <c r="H16" s="82" cm="1">
        <f t="array" ref="H16">INDEX(Working_Data!$D:$AZ,MATCH(1,(Working_Data!$A:$A="Rural+Urban")*(Working_Data!$B:$B=$B16)*(Working_Data!$C:$C=$A16),0),MATCH(H$6,Working_Data!$D$1:$AZ$1,0))</f>
        <v>169.5</v>
      </c>
      <c r="I16" s="82" cm="1">
        <f t="array" ref="I16">INDEX(Working_Data!$D:$AZ,MATCH(1,(Working_Data!$A:$A="Rural+Urban")*(Working_Data!$B:$B=$B16)*(Working_Data!$C:$C=$A16),0),MATCH(I$6,Working_Data!$D$1:$AZ$1,0))</f>
        <v>152.80000000000001</v>
      </c>
      <c r="J16" s="82" cm="1">
        <f t="array" ref="J16">INDEX(Working_Data!$D:$AZ,MATCH(1,(Working_Data!$A:$A="Rural+Urban")*(Working_Data!$B:$B=$B16)*(Working_Data!$C:$C=$A16),0),MATCH(J$6,Working_Data!$D$1:$AZ$1,0))</f>
        <v>171.1</v>
      </c>
      <c r="K16" s="82" cm="1">
        <f t="array" ref="K16">INDEX(Working_Data!$D:$AZ,MATCH(1,(Working_Data!$A:$A="Rural+Urban")*(Working_Data!$B:$B=$B16)*(Working_Data!$C:$C=$A16),0),MATCH(K$6,Working_Data!$D$1:$AZ$1,0))</f>
        <v>120</v>
      </c>
      <c r="L16" s="82" cm="1">
        <f t="array" ref="L16">INDEX(Working_Data!$D:$AZ,MATCH(1,(Working_Data!$A:$A="Rural+Urban")*(Working_Data!$B:$B=$B16)*(Working_Data!$C:$C=$A16),0),MATCH(L$6,Working_Data!$D$1:$AZ$1,0))</f>
        <v>209.7</v>
      </c>
      <c r="M16" s="82" cm="1">
        <f t="array" ref="M16">INDEX(Working_Data!$D:$AZ,MATCH(1,(Working_Data!$A:$A="Rural+Urban")*(Working_Data!$B:$B=$B16)*(Working_Data!$C:$C=$A16),0),MATCH(M$6,Working_Data!$D$1:$AZ$1,0))</f>
        <v>172.3</v>
      </c>
      <c r="N16" s="82" cm="1">
        <f t="array" ref="N16">INDEX(Working_Data!$D:$AZ,MATCH(1,(Working_Data!$A:$A="Rural+Urban")*(Working_Data!$B:$B=$B16)*(Working_Data!$C:$C=$A16),0),MATCH(N$6,Working_Data!$D$1:$AZ$1,0))</f>
        <v>177</v>
      </c>
      <c r="O16" s="82">
        <f t="shared" si="0"/>
        <v>2086.1999999999998</v>
      </c>
      <c r="P16" s="86">
        <f t="shared" si="1"/>
        <v>4.7936340539719595E-5</v>
      </c>
    </row>
    <row r="17" spans="1:23" x14ac:dyDescent="0.3">
      <c r="A17" s="81" t="s">
        <v>37</v>
      </c>
      <c r="B17" s="82">
        <v>2023</v>
      </c>
      <c r="C17" s="82" cm="1">
        <f t="array" ref="C17">INDEX(Working_Data!$D:$AZ,MATCH(1,(Working_Data!$A:$A="Rural+Urban")*(Working_Data!$B:$B=$B17)*(Working_Data!$C:$C=$A17),0),MATCH(C$6,Working_Data!$D$1:$AZ$1,0))</f>
        <v>173.8</v>
      </c>
      <c r="D17" s="82" cm="1">
        <f t="array" ref="D17">INDEX(Working_Data!$D:$AZ,MATCH(1,(Working_Data!$A:$A="Rural+Urban")*(Working_Data!$B:$B=$B17)*(Working_Data!$C:$C=$A17),0),MATCH(D$6,Working_Data!$D$1:$AZ$1,0))</f>
        <v>209.3</v>
      </c>
      <c r="E17" s="82" cm="1">
        <f t="array" ref="E17">INDEX(Working_Data!$D:$AZ,MATCH(1,(Working_Data!$A:$A="Rural+Urban")*(Working_Data!$B:$B=$B17)*(Working_Data!$C:$C=$A17),0),MATCH(E$6,Working_Data!$D$1:$AZ$1,0))</f>
        <v>169.6</v>
      </c>
      <c r="F17" s="82" cm="1">
        <f t="array" ref="F17">INDEX(Working_Data!$D:$AZ,MATCH(1,(Working_Data!$A:$A="Rural+Urban")*(Working_Data!$B:$B=$B17)*(Working_Data!$C:$C=$A17),0),MATCH(F$6,Working_Data!$D$1:$AZ$1,0))</f>
        <v>178.4</v>
      </c>
      <c r="G17" s="82" cm="1">
        <f t="array" ref="G17">INDEX(Working_Data!$D:$AZ,MATCH(1,(Working_Data!$A:$A="Rural+Urban")*(Working_Data!$B:$B=$B17)*(Working_Data!$C:$C=$A17),0),MATCH(G$6,Working_Data!$D$1:$AZ$1,0))</f>
        <v>174.9</v>
      </c>
      <c r="H17" s="82" cm="1">
        <f t="array" ref="H17">INDEX(Working_Data!$D:$AZ,MATCH(1,(Working_Data!$A:$A="Rural+Urban")*(Working_Data!$B:$B=$B17)*(Working_Data!$C:$C=$A17),0),MATCH(H$6,Working_Data!$D$1:$AZ$1,0))</f>
        <v>176.3</v>
      </c>
      <c r="I17" s="82" cm="1">
        <f t="array" ref="I17">INDEX(Working_Data!$D:$AZ,MATCH(1,(Working_Data!$A:$A="Rural+Urban")*(Working_Data!$B:$B=$B17)*(Working_Data!$C:$C=$A17),0),MATCH(I$6,Working_Data!$D$1:$AZ$1,0))</f>
        <v>155.4</v>
      </c>
      <c r="J17" s="82" cm="1">
        <f t="array" ref="J17">INDEX(Working_Data!$D:$AZ,MATCH(1,(Working_Data!$A:$A="Rural+Urban")*(Working_Data!$B:$B=$B17)*(Working_Data!$C:$C=$A17),0),MATCH(J$6,Working_Data!$D$1:$AZ$1,0))</f>
        <v>173.4</v>
      </c>
      <c r="K17" s="82" cm="1">
        <f t="array" ref="K17">INDEX(Working_Data!$D:$AZ,MATCH(1,(Working_Data!$A:$A="Rural+Urban")*(Working_Data!$B:$B=$B17)*(Working_Data!$C:$C=$A17),0),MATCH(K$6,Working_Data!$D$1:$AZ$1,0))</f>
        <v>121.3</v>
      </c>
      <c r="L17" s="82" cm="1">
        <f t="array" ref="L17">INDEX(Working_Data!$D:$AZ,MATCH(1,(Working_Data!$A:$A="Rural+Urban")*(Working_Data!$B:$B=$B17)*(Working_Data!$C:$C=$A17),0),MATCH(L$6,Working_Data!$D$1:$AZ$1,0))</f>
        <v>212.9</v>
      </c>
      <c r="M17" s="82" cm="1">
        <f t="array" ref="M17">INDEX(Working_Data!$D:$AZ,MATCH(1,(Working_Data!$A:$A="Rural+Urban")*(Working_Data!$B:$B=$B17)*(Working_Data!$C:$C=$A17),0),MATCH(M$6,Working_Data!$D$1:$AZ$1,0))</f>
        <v>172.9</v>
      </c>
      <c r="N17" s="82" cm="1">
        <f t="array" ref="N17">INDEX(Working_Data!$D:$AZ,MATCH(1,(Working_Data!$A:$A="Rural+Urban")*(Working_Data!$B:$B=$B17)*(Working_Data!$C:$C=$A17),0),MATCH(N$6,Working_Data!$D$1:$AZ$1,0))</f>
        <v>177.9</v>
      </c>
      <c r="O17" s="82">
        <f t="shared" si="0"/>
        <v>2096.1000000000004</v>
      </c>
      <c r="P17" s="86">
        <f t="shared" si="1"/>
        <v>4.7454702329597096E-3</v>
      </c>
    </row>
    <row r="18" spans="1:23" ht="15" thickBot="1" x14ac:dyDescent="0.35">
      <c r="A18" s="83" t="s">
        <v>38</v>
      </c>
      <c r="B18" s="84">
        <v>2023</v>
      </c>
      <c r="C18" s="84" cm="1">
        <f t="array" ref="C18">INDEX(Working_Data!$D:$AZ,MATCH(1,(Working_Data!$A:$A="Rural+Urban")*(Working_Data!$B:$B=$B18)*(Working_Data!$C:$C=$A18),0),MATCH(C$6,Working_Data!$D$1:$AZ$1,0))</f>
        <v>173.7</v>
      </c>
      <c r="D18" s="84" cm="1">
        <f t="array" ref="D18">INDEX(Working_Data!$D:$AZ,MATCH(1,(Working_Data!$A:$A="Rural+Urban")*(Working_Data!$B:$B=$B18)*(Working_Data!$C:$C=$A18),0),MATCH(D$6,Working_Data!$D$1:$AZ$1,0))</f>
        <v>214.3</v>
      </c>
      <c r="E18" s="84" cm="1">
        <f t="array" ref="E18">INDEX(Working_Data!$D:$AZ,MATCH(1,(Working_Data!$A:$A="Rural+Urban")*(Working_Data!$B:$B=$B18)*(Working_Data!$C:$C=$A18),0),MATCH(E$6,Working_Data!$D$1:$AZ$1,0))</f>
        <v>173.2</v>
      </c>
      <c r="F18" s="84" cm="1">
        <f t="array" ref="F18">INDEX(Working_Data!$D:$AZ,MATCH(1,(Working_Data!$A:$A="Rural+Urban")*(Working_Data!$B:$B=$B18)*(Working_Data!$C:$C=$A18),0),MATCH(F$6,Working_Data!$D$1:$AZ$1,0))</f>
        <v>179.5</v>
      </c>
      <c r="G18" s="84" cm="1">
        <f t="array" ref="G18">INDEX(Working_Data!$D:$AZ,MATCH(1,(Working_Data!$A:$A="Rural+Urban")*(Working_Data!$B:$B=$B18)*(Working_Data!$C:$C=$A18),0),MATCH(G$6,Working_Data!$D$1:$AZ$1,0))</f>
        <v>170</v>
      </c>
      <c r="H18" s="84" cm="1">
        <f t="array" ref="H18">INDEX(Working_Data!$D:$AZ,MATCH(1,(Working_Data!$A:$A="Rural+Urban")*(Working_Data!$B:$B=$B18)*(Working_Data!$C:$C=$A18),0),MATCH(H$6,Working_Data!$D$1:$AZ$1,0))</f>
        <v>172.2</v>
      </c>
      <c r="I18" s="84" cm="1">
        <f t="array" ref="I18">INDEX(Working_Data!$D:$AZ,MATCH(1,(Working_Data!$A:$A="Rural+Urban")*(Working_Data!$B:$B=$B18)*(Working_Data!$C:$C=$A18),0),MATCH(I$6,Working_Data!$D$1:$AZ$1,0))</f>
        <v>161</v>
      </c>
      <c r="J18" s="84" cm="1">
        <f t="array" ref="J18">INDEX(Working_Data!$D:$AZ,MATCH(1,(Working_Data!$A:$A="Rural+Urban")*(Working_Data!$B:$B=$B18)*(Working_Data!$C:$C=$A18),0),MATCH(J$6,Working_Data!$D$1:$AZ$1,0))</f>
        <v>175.6</v>
      </c>
      <c r="K18" s="84" cm="1">
        <f t="array" ref="K18">INDEX(Working_Data!$D:$AZ,MATCH(1,(Working_Data!$A:$A="Rural+Urban")*(Working_Data!$B:$B=$B18)*(Working_Data!$C:$C=$A18),0),MATCH(K$6,Working_Data!$D$1:$AZ$1,0))</f>
        <v>122.7</v>
      </c>
      <c r="L18" s="84" cm="1">
        <f t="array" ref="L18">INDEX(Working_Data!$D:$AZ,MATCH(1,(Working_Data!$A:$A="Rural+Urban")*(Working_Data!$B:$B=$B18)*(Working_Data!$C:$C=$A18),0),MATCH(L$6,Working_Data!$D$1:$AZ$1,0))</f>
        <v>218</v>
      </c>
      <c r="M18" s="84" cm="1">
        <f t="array" ref="M18">INDEX(Working_Data!$D:$AZ,MATCH(1,(Working_Data!$A:$A="Rural+Urban")*(Working_Data!$B:$B=$B18)*(Working_Data!$C:$C=$A18),0),MATCH(M$6,Working_Data!$D$1:$AZ$1,0))</f>
        <v>173.4</v>
      </c>
      <c r="N18" s="84" cm="1">
        <f t="array" ref="N18">INDEX(Working_Data!$D:$AZ,MATCH(1,(Working_Data!$A:$A="Rural+Urban")*(Working_Data!$B:$B=$B18)*(Working_Data!$C:$C=$A18),0),MATCH(N$6,Working_Data!$D$1:$AZ$1,0))</f>
        <v>179.1</v>
      </c>
      <c r="O18" s="84">
        <f t="shared" si="0"/>
        <v>2112.7000000000003</v>
      </c>
      <c r="P18" s="87">
        <f t="shared" si="1"/>
        <v>7.9194694909593567E-3</v>
      </c>
    </row>
    <row r="20" spans="1:23" ht="15" thickBot="1" x14ac:dyDescent="0.35"/>
    <row r="21" spans="1:23" ht="14.4" customHeight="1" x14ac:dyDescent="0.3">
      <c r="P21" s="229" t="s">
        <v>81</v>
      </c>
      <c r="Q21" s="230"/>
      <c r="R21" s="230"/>
      <c r="S21" s="230"/>
      <c r="T21" s="230"/>
      <c r="U21" s="230"/>
      <c r="V21" s="230"/>
      <c r="W21" s="231"/>
    </row>
    <row r="22" spans="1:23" x14ac:dyDescent="0.3">
      <c r="P22" s="232"/>
      <c r="Q22" s="233"/>
      <c r="R22" s="233"/>
      <c r="S22" s="233"/>
      <c r="T22" s="233"/>
      <c r="U22" s="233"/>
      <c r="V22" s="233"/>
      <c r="W22" s="234"/>
    </row>
    <row r="23" spans="1:23" x14ac:dyDescent="0.3">
      <c r="P23" s="232"/>
      <c r="Q23" s="233"/>
      <c r="R23" s="233"/>
      <c r="S23" s="233"/>
      <c r="T23" s="233"/>
      <c r="U23" s="233"/>
      <c r="V23" s="233"/>
      <c r="W23" s="234"/>
    </row>
    <row r="24" spans="1:23" ht="15" thickBot="1" x14ac:dyDescent="0.35">
      <c r="P24" s="235"/>
      <c r="Q24" s="236"/>
      <c r="R24" s="236"/>
      <c r="S24" s="236"/>
      <c r="T24" s="236"/>
      <c r="U24" s="236"/>
      <c r="V24" s="236"/>
      <c r="W24" s="237"/>
    </row>
    <row r="25" spans="1:23" x14ac:dyDescent="0.3">
      <c r="P25" s="88"/>
      <c r="Q25" s="88"/>
      <c r="R25" s="88"/>
      <c r="S25" s="88"/>
      <c r="T25" s="88"/>
      <c r="U25" s="88"/>
      <c r="V25" s="88"/>
      <c r="W25" s="88"/>
    </row>
    <row r="26" spans="1:23" x14ac:dyDescent="0.3">
      <c r="P26" s="88"/>
      <c r="Q26" s="88"/>
      <c r="R26" s="88"/>
      <c r="S26" s="88"/>
      <c r="T26" s="88"/>
      <c r="U26" s="88"/>
      <c r="V26" s="88"/>
      <c r="W26" s="88"/>
    </row>
    <row r="27" spans="1:23" x14ac:dyDescent="0.3">
      <c r="P27" s="88"/>
      <c r="Q27" s="88"/>
      <c r="R27" s="88"/>
      <c r="S27" s="88"/>
      <c r="T27" s="88"/>
      <c r="U27" s="88"/>
      <c r="V27" s="88"/>
      <c r="W27" s="88"/>
    </row>
    <row r="28" spans="1:23" x14ac:dyDescent="0.3">
      <c r="P28" s="88"/>
      <c r="Q28" s="88"/>
      <c r="R28" s="88"/>
      <c r="S28" s="88"/>
      <c r="T28" s="88"/>
      <c r="U28" s="88"/>
      <c r="V28" s="88"/>
      <c r="W28" s="88"/>
    </row>
    <row r="36" spans="5:10" ht="15" thickBot="1" x14ac:dyDescent="0.35"/>
    <row r="37" spans="5:10" ht="15" thickBot="1" x14ac:dyDescent="0.35">
      <c r="E37" s="77"/>
      <c r="F37" s="78" t="s">
        <v>79</v>
      </c>
      <c r="G37" s="72"/>
      <c r="H37" s="73"/>
      <c r="I37" s="74"/>
      <c r="J37" s="71"/>
    </row>
    <row r="38" spans="5:10" ht="29.4" thickBot="1" x14ac:dyDescent="0.35">
      <c r="F38" s="66" t="s">
        <v>77</v>
      </c>
      <c r="G38" s="68">
        <v>44713</v>
      </c>
      <c r="H38" s="68">
        <v>45047</v>
      </c>
      <c r="I38" s="69" t="s">
        <v>78</v>
      </c>
    </row>
    <row r="39" spans="5:10" ht="28.8" x14ac:dyDescent="0.3">
      <c r="F39" s="63" t="s">
        <v>3</v>
      </c>
      <c r="G39" s="70" cm="1">
        <f t="array" ref="G39:G50">TRANSPOSE(C7:N7)</f>
        <v>155</v>
      </c>
      <c r="H39" s="70" cm="1">
        <f t="array" ref="H39:H50">TRANSPOSE(C18:N18)</f>
        <v>173.7</v>
      </c>
      <c r="I39" s="75">
        <f>(H39-G39)/G39</f>
        <v>0.1206451612903225</v>
      </c>
    </row>
    <row r="40" spans="5:10" ht="28.8" x14ac:dyDescent="0.3">
      <c r="F40" s="64" t="s">
        <v>4</v>
      </c>
      <c r="G40" s="70">
        <v>219.4</v>
      </c>
      <c r="H40" s="70">
        <v>214.3</v>
      </c>
      <c r="I40" s="75">
        <f t="shared" ref="I40:I50" si="2">(H40-G40)/G40</f>
        <v>-2.3245214220601614E-2</v>
      </c>
    </row>
    <row r="41" spans="5:10" x14ac:dyDescent="0.3">
      <c r="F41" s="64" t="s">
        <v>5</v>
      </c>
      <c r="G41" s="70">
        <v>170.8</v>
      </c>
      <c r="H41" s="70">
        <v>173.2</v>
      </c>
      <c r="I41" s="75">
        <f t="shared" si="2"/>
        <v>1.4051522248243426E-2</v>
      </c>
    </row>
    <row r="42" spans="5:10" ht="28.8" x14ac:dyDescent="0.3">
      <c r="F42" s="64" t="s">
        <v>6</v>
      </c>
      <c r="G42" s="70">
        <v>165.8</v>
      </c>
      <c r="H42" s="70">
        <v>179.5</v>
      </c>
      <c r="I42" s="75">
        <f t="shared" si="2"/>
        <v>8.2629674306393175E-2</v>
      </c>
    </row>
    <row r="43" spans="5:10" x14ac:dyDescent="0.3">
      <c r="F43" s="64" t="s">
        <v>7</v>
      </c>
      <c r="G43" s="70">
        <v>200.9</v>
      </c>
      <c r="H43" s="70">
        <v>170</v>
      </c>
      <c r="I43" s="75">
        <f t="shared" si="2"/>
        <v>-0.15380786460925835</v>
      </c>
    </row>
    <row r="44" spans="5:10" x14ac:dyDescent="0.3">
      <c r="F44" s="64" t="s">
        <v>8</v>
      </c>
      <c r="G44" s="70">
        <v>169.7</v>
      </c>
      <c r="H44" s="70">
        <v>172.2</v>
      </c>
      <c r="I44" s="75">
        <f t="shared" si="2"/>
        <v>1.4731879787860933E-2</v>
      </c>
    </row>
    <row r="45" spans="5:10" x14ac:dyDescent="0.3">
      <c r="F45" s="64" t="s">
        <v>9</v>
      </c>
      <c r="G45" s="70">
        <v>182.3</v>
      </c>
      <c r="H45" s="70">
        <v>161</v>
      </c>
      <c r="I45" s="75">
        <f t="shared" si="2"/>
        <v>-0.11684037301151953</v>
      </c>
    </row>
    <row r="46" spans="5:10" ht="28.8" x14ac:dyDescent="0.3">
      <c r="F46" s="64" t="s">
        <v>10</v>
      </c>
      <c r="G46" s="70">
        <v>164.3</v>
      </c>
      <c r="H46" s="70">
        <v>175.6</v>
      </c>
      <c r="I46" s="75">
        <f t="shared" si="2"/>
        <v>6.8776628119293873E-2</v>
      </c>
    </row>
    <row r="47" spans="5:10" ht="43.2" x14ac:dyDescent="0.3">
      <c r="F47" s="64" t="s">
        <v>11</v>
      </c>
      <c r="G47" s="70">
        <v>119.9</v>
      </c>
      <c r="H47" s="70">
        <v>122.7</v>
      </c>
      <c r="I47" s="75">
        <f t="shared" si="2"/>
        <v>2.3352793994995805E-2</v>
      </c>
    </row>
    <row r="48" spans="5:10" x14ac:dyDescent="0.3">
      <c r="F48" s="64" t="s">
        <v>12</v>
      </c>
      <c r="G48" s="70">
        <v>187.1</v>
      </c>
      <c r="H48" s="70">
        <v>218</v>
      </c>
      <c r="I48" s="75">
        <f t="shared" si="2"/>
        <v>0.16515232495991453</v>
      </c>
    </row>
    <row r="49" spans="6:21" ht="43.8" thickBot="1" x14ac:dyDescent="0.35">
      <c r="F49" s="64" t="s">
        <v>13</v>
      </c>
      <c r="G49" s="70">
        <v>167.9</v>
      </c>
      <c r="H49" s="70">
        <v>173.4</v>
      </c>
      <c r="I49" s="75">
        <f t="shared" si="2"/>
        <v>3.2757593805836809E-2</v>
      </c>
    </row>
    <row r="50" spans="6:21" ht="29.4" thickBot="1" x14ac:dyDescent="0.35">
      <c r="F50" s="65" t="s">
        <v>15</v>
      </c>
      <c r="G50" s="67">
        <v>174.9</v>
      </c>
      <c r="H50" s="67">
        <v>179.1</v>
      </c>
      <c r="I50" s="76">
        <f t="shared" si="2"/>
        <v>2.4013722126929607E-2</v>
      </c>
      <c r="K50" s="256" t="s">
        <v>82</v>
      </c>
      <c r="L50" s="257"/>
      <c r="M50" s="257"/>
      <c r="N50" s="257"/>
      <c r="O50" s="257"/>
      <c r="P50" s="257"/>
      <c r="Q50" s="257"/>
      <c r="R50" s="257"/>
      <c r="S50" s="257"/>
      <c r="T50" s="257"/>
      <c r="U50" s="258"/>
    </row>
    <row r="51" spans="6:21" x14ac:dyDescent="0.3">
      <c r="K51" s="259"/>
      <c r="L51" s="260"/>
      <c r="M51" s="260"/>
      <c r="N51" s="260"/>
      <c r="O51" s="260"/>
      <c r="P51" s="260"/>
      <c r="Q51" s="260"/>
      <c r="R51" s="260"/>
      <c r="S51" s="260"/>
      <c r="T51" s="260"/>
      <c r="U51" s="261"/>
    </row>
    <row r="52" spans="6:21" ht="15" thickBot="1" x14ac:dyDescent="0.35">
      <c r="K52" s="262"/>
      <c r="L52" s="263"/>
      <c r="M52" s="263"/>
      <c r="N52" s="263"/>
      <c r="O52" s="263"/>
      <c r="P52" s="263"/>
      <c r="Q52" s="263"/>
      <c r="R52" s="263"/>
      <c r="S52" s="263"/>
      <c r="T52" s="263"/>
      <c r="U52" s="264"/>
    </row>
  </sheetData>
  <mergeCells count="2">
    <mergeCell ref="P21:W24"/>
    <mergeCell ref="K50:U52"/>
  </mergeCells>
  <conditionalFormatting sqref="I39:I50">
    <cfRule type="colorScale" priority="1">
      <colorScale>
        <cfvo type="min"/>
        <cfvo type="percentile" val="50"/>
        <cfvo type="max"/>
        <color rgb="FF63BE7B"/>
        <color rgb="FFFFEB84"/>
        <color rgb="FFF8696B"/>
      </colorScale>
    </cfRule>
  </conditionalFormatting>
  <conditionalFormatting sqref="P8:P18">
    <cfRule type="colorScale" priority="2">
      <colorScale>
        <cfvo type="min"/>
        <cfvo type="percentile" val="50"/>
        <cfvo type="max"/>
        <color rgb="FF63BE7B"/>
        <color rgb="FFFCFCFF"/>
        <color rgb="FFF8696B"/>
      </colorScale>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B814-B540-4167-BA0B-0AABC44BC674}">
  <dimension ref="A1:T81"/>
  <sheetViews>
    <sheetView showGridLines="0" zoomScale="114" zoomScaleNormal="107" workbookViewId="0">
      <pane ySplit="3" topLeftCell="A52" activePane="bottomLeft" state="frozen"/>
      <selection pane="bottomLeft" activeCell="J56" sqref="J56:P62"/>
    </sheetView>
  </sheetViews>
  <sheetFormatPr defaultRowHeight="14.4" x14ac:dyDescent="0.3"/>
  <cols>
    <col min="1" max="1" width="17.44140625" customWidth="1"/>
    <col min="4" max="4" width="13.88671875" customWidth="1"/>
    <col min="5" max="5" width="10.109375" customWidth="1"/>
  </cols>
  <sheetData>
    <row r="1" spans="1:20" ht="15" thickBot="1" x14ac:dyDescent="0.35"/>
    <row r="2" spans="1:20" ht="26.4" thickBot="1" x14ac:dyDescent="0.55000000000000004">
      <c r="A2" s="134" t="s">
        <v>151</v>
      </c>
      <c r="B2" s="111"/>
      <c r="D2" s="131" t="s">
        <v>150</v>
      </c>
      <c r="E2" s="108"/>
      <c r="F2" s="108"/>
      <c r="G2" s="108"/>
      <c r="H2" s="108"/>
      <c r="I2" s="108"/>
      <c r="J2" s="108"/>
      <c r="K2" s="108"/>
      <c r="L2" s="108"/>
      <c r="M2" s="109"/>
      <c r="N2" s="109"/>
      <c r="O2" s="110"/>
      <c r="Q2" s="112" t="s">
        <v>152</v>
      </c>
      <c r="R2" s="113"/>
      <c r="S2" s="113"/>
      <c r="T2" s="114"/>
    </row>
    <row r="3" spans="1:20" ht="43.8" thickBot="1" x14ac:dyDescent="0.35">
      <c r="A3" s="98" t="s">
        <v>86</v>
      </c>
      <c r="B3" s="99" t="s">
        <v>85</v>
      </c>
      <c r="D3" s="128" t="s">
        <v>92</v>
      </c>
      <c r="E3" s="129" t="s">
        <v>2</v>
      </c>
      <c r="F3" s="129" t="s">
        <v>1</v>
      </c>
      <c r="G3" s="129" t="s">
        <v>57</v>
      </c>
      <c r="H3" s="129" t="s">
        <v>87</v>
      </c>
      <c r="I3" s="129" t="s">
        <v>23</v>
      </c>
      <c r="J3" s="129" t="s">
        <v>89</v>
      </c>
      <c r="K3" s="129" t="s">
        <v>90</v>
      </c>
      <c r="L3" s="130" t="s">
        <v>91</v>
      </c>
      <c r="M3" s="129" t="s">
        <v>146</v>
      </c>
      <c r="N3" s="129" t="s">
        <v>147</v>
      </c>
      <c r="O3" s="130" t="s">
        <v>148</v>
      </c>
      <c r="Q3" s="135" t="s">
        <v>56</v>
      </c>
      <c r="R3" s="135" t="s">
        <v>143</v>
      </c>
      <c r="S3" s="135" t="s">
        <v>144</v>
      </c>
      <c r="T3" s="135" t="s">
        <v>145</v>
      </c>
    </row>
    <row r="4" spans="1:20" ht="28.8" x14ac:dyDescent="0.3">
      <c r="A4" s="100" t="s">
        <v>3</v>
      </c>
      <c r="B4" s="101" t="s">
        <v>57</v>
      </c>
      <c r="D4" s="132" t="s">
        <v>93</v>
      </c>
      <c r="E4" s="126" t="s">
        <v>35</v>
      </c>
      <c r="F4" s="127">
        <v>2018</v>
      </c>
      <c r="G4" s="126" cm="1">
        <f t="array" ref="G4">SUM(INDEX(Working_Data!$D:$P,MATCH(1,(Working_Data!$A:$A="Rural+Urban")*(Working_Data!$B:$B=$F4)*(Working_Data!$C:$C=$E4),0),0))</f>
        <v>1760.3999999999996</v>
      </c>
      <c r="H4" s="127" cm="1">
        <f t="array" ref="H4">SUM(INDEX(Working_Data!$R:$AA,MATCH(1,(Working_Data!$A:$A="Rural+Urban")*(Working_Data!$B:$B=$F4)*(Working_Data!$C:$C=$E4),0),{1,2,3,4,5,6,8,10}))</f>
        <v>1094.4000000000001</v>
      </c>
      <c r="I4" s="126" cm="1">
        <f t="array" ref="I4">INDEX(Working_Data!$X:$X,MATCH(1,(Working_Data!$A:$A="Rural+Urban")*(Working_Data!$B:$B=$F4)*(Working_Data!$C:$C=$E4),0))</f>
        <v>133.80000000000001</v>
      </c>
      <c r="J4" s="126" t="s">
        <v>47</v>
      </c>
      <c r="K4" s="126" t="s">
        <v>47</v>
      </c>
      <c r="L4" s="126" t="s">
        <v>47</v>
      </c>
      <c r="M4" s="126" t="s">
        <v>47</v>
      </c>
      <c r="N4" s="126" t="s">
        <v>47</v>
      </c>
      <c r="O4" s="133" t="s">
        <v>47</v>
      </c>
      <c r="Q4" s="136" t="s">
        <v>57</v>
      </c>
      <c r="R4" s="137">
        <f>AVERAGE(M17:M28)</f>
        <v>4.8561390202346094E-2</v>
      </c>
      <c r="S4" s="137">
        <f>AVERAGE(M29:M40)</f>
        <v>8.1946471652069419E-2</v>
      </c>
      <c r="T4" s="137">
        <f>S4-R4</f>
        <v>3.3385081449723325E-2</v>
      </c>
    </row>
    <row r="5" spans="1:20" ht="28.8" x14ac:dyDescent="0.3">
      <c r="A5" s="100" t="s">
        <v>4</v>
      </c>
      <c r="B5" s="101" t="s">
        <v>57</v>
      </c>
      <c r="D5" s="115" t="s">
        <v>94</v>
      </c>
      <c r="E5" s="116" t="s">
        <v>36</v>
      </c>
      <c r="F5" s="117">
        <v>2018</v>
      </c>
      <c r="G5" s="116" cm="1">
        <f t="array" ref="G5">SUM(INDEX(Working_Data!$D:$P,MATCH(1,(Working_Data!$A:$A="Rural+Urban")*(Working_Data!$B:$B=$F5)*(Working_Data!$C:$C=$E5),0),0))</f>
        <v>1756</v>
      </c>
      <c r="H5" s="117" cm="1">
        <f t="array" ref="H5">SUM(INDEX(Working_Data!$R:$AA,MATCH(1,(Working_Data!$A:$A="Rural+Urban")*(Working_Data!$B:$B=$F5)*(Working_Data!$C:$C=$E5),0),{1,2,3,4,5,6,8,10}))</f>
        <v>1098.5</v>
      </c>
      <c r="I5" s="116" cm="1">
        <f t="array" ref="I5">INDEX(Working_Data!$X:$X,MATCH(1,(Working_Data!$A:$A="Rural+Urban")*(Working_Data!$B:$B=$F5)*(Working_Data!$C:$C=$E5),0))</f>
        <v>134.30000000000001</v>
      </c>
      <c r="J5" s="119">
        <f>(G5-G4)/G4</f>
        <v>-2.499431947284502E-3</v>
      </c>
      <c r="K5" s="119">
        <f>(H5-H4)/H4</f>
        <v>3.7463450292396826E-3</v>
      </c>
      <c r="L5" s="119">
        <f>(I5-I4)/I4</f>
        <v>3.7369207772795215E-3</v>
      </c>
      <c r="M5" s="116" t="s">
        <v>47</v>
      </c>
      <c r="N5" s="116" t="s">
        <v>47</v>
      </c>
      <c r="O5" s="118" t="s">
        <v>47</v>
      </c>
      <c r="P5" s="97"/>
      <c r="Q5" s="136" t="s">
        <v>87</v>
      </c>
      <c r="R5" s="137">
        <f>AVERAGE(N17:N28)</f>
        <v>2.7262133051468605E-2</v>
      </c>
      <c r="S5" s="137">
        <f>AVERAGE(N29:N40)</f>
        <v>2.9809890785540454E-2</v>
      </c>
      <c r="T5" s="137">
        <f>S5-R5</f>
        <v>2.5477577340718496E-3</v>
      </c>
    </row>
    <row r="6" spans="1:20" x14ac:dyDescent="0.3">
      <c r="A6" s="100" t="s">
        <v>5</v>
      </c>
      <c r="B6" s="101" t="s">
        <v>57</v>
      </c>
      <c r="D6" s="115" t="s">
        <v>95</v>
      </c>
      <c r="E6" s="116" t="s">
        <v>37</v>
      </c>
      <c r="F6" s="117">
        <v>2018</v>
      </c>
      <c r="G6" s="116" cm="1">
        <f t="array" ref="G6">SUM(INDEX(Working_Data!$D:$P,MATCH(1,(Working_Data!$A:$A="Rural+Urban")*(Working_Data!$B:$B=$F6)*(Working_Data!$C:$C=$E6),0),0))</f>
        <v>1757.1000000000001</v>
      </c>
      <c r="H6" s="117" cm="1">
        <f t="array" ref="H6">SUM(INDEX(Working_Data!$R:$AA,MATCH(1,(Working_Data!$A:$A="Rural+Urban")*(Working_Data!$B:$B=$F6)*(Working_Data!$C:$C=$E6),0),{1,2,3,4,5,6,8,10}))</f>
        <v>1105.3</v>
      </c>
      <c r="I6" s="116" cm="1">
        <f t="array" ref="I6">INDEX(Working_Data!$X:$X,MATCH(1,(Working_Data!$A:$A="Rural+Urban")*(Working_Data!$B:$B=$F6)*(Working_Data!$C:$C=$E6),0))</f>
        <v>135.19999999999999</v>
      </c>
      <c r="J6" s="119">
        <f t="shared" ref="J6:J53" si="0">(G6-G5)/G5</f>
        <v>6.2642369020508913E-4</v>
      </c>
      <c r="K6" s="119">
        <f t="shared" ref="K6:K53" si="1">(H6-H5)/H5</f>
        <v>6.190259444697273E-3</v>
      </c>
      <c r="L6" s="119">
        <f t="shared" ref="L6:L53" si="2">(I6-I5)/I5</f>
        <v>6.7014147431122646E-3</v>
      </c>
      <c r="M6" s="116" t="s">
        <v>47</v>
      </c>
      <c r="N6" s="116" t="s">
        <v>47</v>
      </c>
      <c r="O6" s="118" t="s">
        <v>47</v>
      </c>
      <c r="Q6" s="136" t="s">
        <v>23</v>
      </c>
      <c r="R6" s="137">
        <f>AVERAGE(O17:O28)</f>
        <v>6.6277762994072939E-2</v>
      </c>
      <c r="S6" s="137">
        <f>AVERAGE(O29:O40)</f>
        <v>4.6161015926027386E-2</v>
      </c>
      <c r="T6" s="137">
        <f>S6-R6</f>
        <v>-2.0116747068045553E-2</v>
      </c>
    </row>
    <row r="7" spans="1:20" x14ac:dyDescent="0.3">
      <c r="A7" s="100" t="s">
        <v>6</v>
      </c>
      <c r="B7" s="101" t="s">
        <v>57</v>
      </c>
      <c r="D7" s="115" t="s">
        <v>96</v>
      </c>
      <c r="E7" s="116" t="s">
        <v>38</v>
      </c>
      <c r="F7" s="117">
        <v>2018</v>
      </c>
      <c r="G7" s="116" cm="1">
        <f t="array" ref="G7">SUM(INDEX(Working_Data!$D:$P,MATCH(1,(Working_Data!$A:$A="Rural+Urban")*(Working_Data!$B:$B=$F7)*(Working_Data!$C:$C=$E7),0),0))</f>
        <v>1759.8</v>
      </c>
      <c r="H7" s="117" cm="1">
        <f t="array" ref="H7">SUM(INDEX(Working_Data!$R:$AA,MATCH(1,(Working_Data!$A:$A="Rural+Urban")*(Working_Data!$B:$B=$F7)*(Working_Data!$C:$C=$E7),0),{1,2,3,4,5,6,8,10}))</f>
        <v>1110.5999999999999</v>
      </c>
      <c r="I7" s="116" cm="1">
        <f t="array" ref="I7">INDEX(Working_Data!$X:$X,MATCH(1,(Working_Data!$A:$A="Rural+Urban")*(Working_Data!$B:$B=$F7)*(Working_Data!$C:$C=$E7),0))</f>
        <v>136</v>
      </c>
      <c r="J7" s="119">
        <f t="shared" si="0"/>
        <v>1.5366228444595174E-3</v>
      </c>
      <c r="K7" s="119">
        <f t="shared" si="1"/>
        <v>4.795078259296078E-3</v>
      </c>
      <c r="L7" s="119">
        <f t="shared" si="2"/>
        <v>5.9171597633136943E-3</v>
      </c>
      <c r="M7" s="116" t="s">
        <v>47</v>
      </c>
      <c r="N7" s="116" t="s">
        <v>47</v>
      </c>
      <c r="O7" s="118" t="s">
        <v>47</v>
      </c>
    </row>
    <row r="8" spans="1:20" x14ac:dyDescent="0.3">
      <c r="A8" s="100" t="s">
        <v>7</v>
      </c>
      <c r="B8" s="101" t="s">
        <v>57</v>
      </c>
      <c r="D8" s="115" t="s">
        <v>97</v>
      </c>
      <c r="E8" s="116" t="s">
        <v>39</v>
      </c>
      <c r="F8" s="117">
        <v>2018</v>
      </c>
      <c r="G8" s="116" cm="1">
        <f t="array" ref="G8">SUM(INDEX(Working_Data!$D:$P,MATCH(1,(Working_Data!$A:$A="Rural+Urban")*(Working_Data!$B:$B=$F8)*(Working_Data!$C:$C=$E8),0),0))</f>
        <v>1774.1000000000001</v>
      </c>
      <c r="H8" s="117" cm="1">
        <f t="array" ref="H8">SUM(INDEX(Working_Data!$R:$AA,MATCH(1,(Working_Data!$A:$A="Rural+Urban")*(Working_Data!$B:$B=$F8)*(Working_Data!$C:$C=$E8),0),{1,2,3,4,5,6,8,10}))</f>
        <v>1114.7</v>
      </c>
      <c r="I8" s="116" cm="1">
        <f t="array" ref="I8">INDEX(Working_Data!$X:$X,MATCH(1,(Working_Data!$A:$A="Rural+Urban")*(Working_Data!$B:$B=$F8)*(Working_Data!$C:$C=$E8),0))</f>
        <v>136.19999999999999</v>
      </c>
      <c r="J8" s="119">
        <f t="shared" si="0"/>
        <v>8.1259234003865106E-3</v>
      </c>
      <c r="K8" s="119">
        <f t="shared" si="1"/>
        <v>3.6916981811634581E-3</v>
      </c>
      <c r="L8" s="119">
        <f t="shared" si="2"/>
        <v>1.4705882352940341E-3</v>
      </c>
      <c r="M8" s="116" t="s">
        <v>47</v>
      </c>
      <c r="N8" s="116" t="s">
        <v>47</v>
      </c>
      <c r="O8" s="118" t="s">
        <v>47</v>
      </c>
    </row>
    <row r="9" spans="1:20" x14ac:dyDescent="0.3">
      <c r="A9" s="100" t="s">
        <v>8</v>
      </c>
      <c r="B9" s="101" t="s">
        <v>57</v>
      </c>
      <c r="D9" s="115" t="s">
        <v>98</v>
      </c>
      <c r="E9" s="116" t="s">
        <v>40</v>
      </c>
      <c r="F9" s="117">
        <v>2018</v>
      </c>
      <c r="G9" s="116" cm="1">
        <f t="array" ref="G9">SUM(INDEX(Working_Data!$D:$P,MATCH(1,(Working_Data!$A:$A="Rural+Urban")*(Working_Data!$B:$B=$F9)*(Working_Data!$C:$C=$E9),0),0))</f>
        <v>1795.3</v>
      </c>
      <c r="H9" s="117" cm="1">
        <f t="array" ref="H9">SUM(INDEX(Working_Data!$R:$AA,MATCH(1,(Working_Data!$A:$A="Rural+Urban")*(Working_Data!$B:$B=$F9)*(Working_Data!$C:$C=$E9),0),{1,2,3,4,5,6,8,10}))</f>
        <v>1121.0000000000002</v>
      </c>
      <c r="I9" s="116" cm="1">
        <f t="array" ref="I9">INDEX(Working_Data!$X:$X,MATCH(1,(Working_Data!$A:$A="Rural+Urban")*(Working_Data!$B:$B=$F9)*(Working_Data!$C:$C=$E9),0))</f>
        <v>137</v>
      </c>
      <c r="J9" s="119">
        <f t="shared" si="0"/>
        <v>1.1949720985288213E-2</v>
      </c>
      <c r="K9" s="119">
        <f t="shared" si="1"/>
        <v>5.6517448640891555E-3</v>
      </c>
      <c r="L9" s="119">
        <f t="shared" si="2"/>
        <v>5.8737151248165302E-3</v>
      </c>
      <c r="M9" s="116" t="s">
        <v>47</v>
      </c>
      <c r="N9" s="116" t="s">
        <v>47</v>
      </c>
      <c r="O9" s="118" t="s">
        <v>47</v>
      </c>
    </row>
    <row r="10" spans="1:20" x14ac:dyDescent="0.3">
      <c r="A10" s="100" t="s">
        <v>9</v>
      </c>
      <c r="B10" s="101" t="s">
        <v>57</v>
      </c>
      <c r="D10" s="115" t="s">
        <v>99</v>
      </c>
      <c r="E10" s="116" t="s">
        <v>41</v>
      </c>
      <c r="F10" s="117">
        <v>2018</v>
      </c>
      <c r="G10" s="116" cm="1">
        <f t="array" ref="G10">SUM(INDEX(Working_Data!$D:$P,MATCH(1,(Working_Data!$A:$A="Rural+Urban")*(Working_Data!$B:$B=$F10)*(Working_Data!$C:$C=$E10),0),0))</f>
        <v>1798.7000000000003</v>
      </c>
      <c r="H10" s="117" cm="1">
        <f t="array" ref="H10">SUM(INDEX(Working_Data!$R:$AA,MATCH(1,(Working_Data!$A:$A="Rural+Urban")*(Working_Data!$B:$B=$F10)*(Working_Data!$C:$C=$E10),0),{1,2,3,4,5,6,8,10}))</f>
        <v>1127.4000000000001</v>
      </c>
      <c r="I10" s="116" cm="1">
        <f t="array" ref="I10">INDEX(Working_Data!$X:$X,MATCH(1,(Working_Data!$A:$A="Rural+Urban")*(Working_Data!$B:$B=$F10)*(Working_Data!$C:$C=$E10),0))</f>
        <v>137.69999999999999</v>
      </c>
      <c r="J10" s="119">
        <f t="shared" si="0"/>
        <v>1.8938338996269807E-3</v>
      </c>
      <c r="K10" s="119">
        <f t="shared" si="1"/>
        <v>5.7091882247991632E-3</v>
      </c>
      <c r="L10" s="119">
        <f t="shared" si="2"/>
        <v>5.1094890510948072E-3</v>
      </c>
      <c r="M10" s="116" t="s">
        <v>47</v>
      </c>
      <c r="N10" s="116" t="s">
        <v>47</v>
      </c>
      <c r="O10" s="118" t="s">
        <v>47</v>
      </c>
    </row>
    <row r="11" spans="1:20" x14ac:dyDescent="0.3">
      <c r="A11" s="100" t="s">
        <v>10</v>
      </c>
      <c r="B11" s="101" t="s">
        <v>57</v>
      </c>
      <c r="D11" s="115" t="s">
        <v>100</v>
      </c>
      <c r="E11" s="116" t="s">
        <v>42</v>
      </c>
      <c r="F11" s="117">
        <v>2018</v>
      </c>
      <c r="G11" s="116" cm="1">
        <f t="array" ref="G11">SUM(INDEX(Working_Data!$D:$P,MATCH(1,(Working_Data!$A:$A="Rural+Urban")*(Working_Data!$B:$B=$F11)*(Working_Data!$C:$C=$E11),0),0))</f>
        <v>1779.5</v>
      </c>
      <c r="H11" s="117" cm="1">
        <f t="array" ref="H11">SUM(INDEX(Working_Data!$R:$AA,MATCH(1,(Working_Data!$A:$A="Rural+Urban")*(Working_Data!$B:$B=$F11)*(Working_Data!$C:$C=$E11),0),{1,2,3,4,5,6,8,10}))</f>
        <v>1132.8</v>
      </c>
      <c r="I11" s="116" cm="1">
        <f t="array" ref="I11">INDEX(Working_Data!$X:$X,MATCH(1,(Working_Data!$A:$A="Rural+Urban")*(Working_Data!$B:$B=$F11)*(Working_Data!$C:$C=$E11),0))</f>
        <v>138.4</v>
      </c>
      <c r="J11" s="119">
        <f t="shared" si="0"/>
        <v>-1.0674375938177723E-2</v>
      </c>
      <c r="K11" s="119">
        <f t="shared" si="1"/>
        <v>4.7897817988290427E-3</v>
      </c>
      <c r="L11" s="119">
        <f t="shared" si="2"/>
        <v>5.0835148874365807E-3</v>
      </c>
      <c r="M11" s="116" t="s">
        <v>47</v>
      </c>
      <c r="N11" s="116" t="s">
        <v>47</v>
      </c>
      <c r="O11" s="118" t="s">
        <v>47</v>
      </c>
    </row>
    <row r="12" spans="1:20" ht="28.8" x14ac:dyDescent="0.3">
      <c r="A12" s="100" t="s">
        <v>11</v>
      </c>
      <c r="B12" s="101" t="s">
        <v>57</v>
      </c>
      <c r="D12" s="115" t="s">
        <v>101</v>
      </c>
      <c r="E12" s="116" t="s">
        <v>43</v>
      </c>
      <c r="F12" s="117">
        <v>2018</v>
      </c>
      <c r="G12" s="116" cm="1">
        <f t="array" ref="G12">SUM(INDEX(Working_Data!$D:$P,MATCH(1,(Working_Data!$A:$A="Rural+Urban")*(Working_Data!$B:$B=$F12)*(Working_Data!$C:$C=$E12),0),0))</f>
        <v>1776.2</v>
      </c>
      <c r="H12" s="117" cm="1">
        <f t="array" ref="H12">SUM(INDEX(Working_Data!$R:$AA,MATCH(1,(Working_Data!$A:$A="Rural+Urban")*(Working_Data!$B:$B=$F12)*(Working_Data!$C:$C=$E12),0),{1,2,3,4,5,6,8,10}))</f>
        <v>1141.7</v>
      </c>
      <c r="I12" s="116" cm="1">
        <f t="array" ref="I12">INDEX(Working_Data!$X:$X,MATCH(1,(Working_Data!$A:$A="Rural+Urban")*(Working_Data!$B:$B=$F12)*(Working_Data!$C:$C=$E12),0))</f>
        <v>142.1</v>
      </c>
      <c r="J12" s="119">
        <f t="shared" si="0"/>
        <v>-1.8544534981736187E-3</v>
      </c>
      <c r="K12" s="119">
        <f t="shared" si="1"/>
        <v>7.8566384180791763E-3</v>
      </c>
      <c r="L12" s="119">
        <f t="shared" si="2"/>
        <v>2.6734104046242692E-2</v>
      </c>
      <c r="M12" s="116" t="s">
        <v>47</v>
      </c>
      <c r="N12" s="116" t="s">
        <v>47</v>
      </c>
      <c r="O12" s="118" t="s">
        <v>47</v>
      </c>
    </row>
    <row r="13" spans="1:20" x14ac:dyDescent="0.3">
      <c r="A13" s="100" t="s">
        <v>12</v>
      </c>
      <c r="B13" s="101" t="s">
        <v>57</v>
      </c>
      <c r="D13" s="115" t="s">
        <v>102</v>
      </c>
      <c r="E13" s="116" t="s">
        <v>44</v>
      </c>
      <c r="F13" s="117">
        <v>2018</v>
      </c>
      <c r="G13" s="116" cm="1">
        <f t="array" ref="G13">SUM(INDEX(Working_Data!$D:$P,MATCH(1,(Working_Data!$A:$A="Rural+Urban")*(Working_Data!$B:$B=$F13)*(Working_Data!$C:$C=$E13),0),0))</f>
        <v>1775.7000000000003</v>
      </c>
      <c r="H13" s="117" cm="1">
        <f t="array" ref="H13">SUM(INDEX(Working_Data!$R:$AA,MATCH(1,(Working_Data!$A:$A="Rural+Urban")*(Working_Data!$B:$B=$F13)*(Working_Data!$C:$C=$E13),0),{1,2,3,4,5,6,8,10}))</f>
        <v>1141.3</v>
      </c>
      <c r="I13" s="116" cm="1">
        <f t="array" ref="I13">INDEX(Working_Data!$X:$X,MATCH(1,(Working_Data!$A:$A="Rural+Urban")*(Working_Data!$B:$B=$F13)*(Working_Data!$C:$C=$E13),0))</f>
        <v>142.1</v>
      </c>
      <c r="J13" s="119">
        <f t="shared" si="0"/>
        <v>-2.8149983109997334E-4</v>
      </c>
      <c r="K13" s="119">
        <f t="shared" si="1"/>
        <v>-3.503547341684251E-4</v>
      </c>
      <c r="L13" s="119">
        <f t="shared" si="2"/>
        <v>0</v>
      </c>
      <c r="M13" s="116" t="s">
        <v>47</v>
      </c>
      <c r="N13" s="116" t="s">
        <v>47</v>
      </c>
      <c r="O13" s="118" t="s">
        <v>47</v>
      </c>
    </row>
    <row r="14" spans="1:20" ht="28.8" x14ac:dyDescent="0.3">
      <c r="A14" s="100" t="s">
        <v>13</v>
      </c>
      <c r="B14" s="101" t="s">
        <v>57</v>
      </c>
      <c r="D14" s="115" t="s">
        <v>103</v>
      </c>
      <c r="E14" s="116" t="s">
        <v>45</v>
      </c>
      <c r="F14" s="117">
        <v>2018</v>
      </c>
      <c r="G14" s="116" cm="1">
        <f t="array" ref="G14">SUM(INDEX(Working_Data!$D:$P,MATCH(1,(Working_Data!$A:$A="Rural+Urban")*(Working_Data!$B:$B=$F14)*(Working_Data!$C:$C=$E14),0),0))</f>
        <v>1762.7999999999997</v>
      </c>
      <c r="H14" s="117" cm="1">
        <f t="array" ref="H14">SUM(INDEX(Working_Data!$R:$AA,MATCH(1,(Working_Data!$A:$A="Rural+Urban")*(Working_Data!$B:$B=$F14)*(Working_Data!$C:$C=$E14),0),{1,2,3,4,5,6,8,10}))</f>
        <v>1140.4000000000001</v>
      </c>
      <c r="I14" s="116" cm="1">
        <f t="array" ref="I14">INDEX(Working_Data!$X:$X,MATCH(1,(Working_Data!$A:$A="Rural+Urban")*(Working_Data!$B:$B=$F14)*(Working_Data!$C:$C=$E14),0))</f>
        <v>144.9</v>
      </c>
      <c r="J14" s="119">
        <f t="shared" si="0"/>
        <v>-7.2647406656532881E-3</v>
      </c>
      <c r="K14" s="119">
        <f t="shared" si="1"/>
        <v>-7.8857443266438587E-4</v>
      </c>
      <c r="L14" s="119">
        <f t="shared" si="2"/>
        <v>1.9704433497537026E-2</v>
      </c>
      <c r="M14" s="116" t="s">
        <v>47</v>
      </c>
      <c r="N14" s="116" t="s">
        <v>47</v>
      </c>
      <c r="O14" s="118" t="s">
        <v>47</v>
      </c>
    </row>
    <row r="15" spans="1:20" ht="28.8" x14ac:dyDescent="0.3">
      <c r="A15" s="100" t="s">
        <v>14</v>
      </c>
      <c r="B15" s="101" t="s">
        <v>57</v>
      </c>
      <c r="D15" s="115" t="s">
        <v>104</v>
      </c>
      <c r="E15" s="116" t="s">
        <v>31</v>
      </c>
      <c r="F15" s="117">
        <v>2019</v>
      </c>
      <c r="G15" s="116" cm="1">
        <f t="array" ref="G15">SUM(INDEX(Working_Data!$D:$P,MATCH(1,(Working_Data!$A:$A="Rural+Urban")*(Working_Data!$B:$B=$F15)*(Working_Data!$C:$C=$E15),0),0))</f>
        <v>1753.3999999999999</v>
      </c>
      <c r="H15" s="117" cm="1">
        <f t="array" ref="H15">SUM(INDEX(Working_Data!$R:$AA,MATCH(1,(Working_Data!$A:$A="Rural+Urban")*(Working_Data!$B:$B=$F15)*(Working_Data!$C:$C=$E15),0),{1,2,3,4,5,6,8,10}))</f>
        <v>1137.3</v>
      </c>
      <c r="I15" s="116" cm="1">
        <f t="array" ref="I15">INDEX(Working_Data!$X:$X,MATCH(1,(Working_Data!$A:$A="Rural+Urban")*(Working_Data!$B:$B=$F15)*(Working_Data!$C:$C=$E15),0))</f>
        <v>145.1</v>
      </c>
      <c r="J15" s="119">
        <f t="shared" si="0"/>
        <v>-5.3324256864079106E-3</v>
      </c>
      <c r="K15" s="119">
        <f t="shared" si="1"/>
        <v>-2.7183444405472958E-3</v>
      </c>
      <c r="L15" s="119">
        <f t="shared" si="2"/>
        <v>1.3802622498273887E-3</v>
      </c>
      <c r="M15" s="116" t="s">
        <v>47</v>
      </c>
      <c r="N15" s="116" t="s">
        <v>47</v>
      </c>
      <c r="O15" s="118" t="s">
        <v>47</v>
      </c>
    </row>
    <row r="16" spans="1:20" x14ac:dyDescent="0.3">
      <c r="A16" s="100" t="s">
        <v>15</v>
      </c>
      <c r="B16" s="101" t="s">
        <v>57</v>
      </c>
      <c r="D16" s="115" t="s">
        <v>105</v>
      </c>
      <c r="E16" s="116" t="s">
        <v>35</v>
      </c>
      <c r="F16" s="117">
        <v>2019</v>
      </c>
      <c r="G16" s="116" cm="1">
        <f t="array" ref="G16">SUM(INDEX(Working_Data!$D:$P,MATCH(1,(Working_Data!$A:$A="Rural+Urban")*(Working_Data!$B:$B=$F16)*(Working_Data!$C:$C=$E16),0),0))</f>
        <v>1757.1</v>
      </c>
      <c r="H16" s="117" cm="1">
        <f t="array" ref="H16">SUM(INDEX(Working_Data!$R:$AA,MATCH(1,(Working_Data!$A:$A="Rural+Urban")*(Working_Data!$B:$B=$F16)*(Working_Data!$C:$C=$E16),0),{1,2,3,4,5,6,8,10}))</f>
        <v>1138.7</v>
      </c>
      <c r="I16" s="116" cm="1">
        <f t="array" ref="I16">INDEX(Working_Data!$X:$X,MATCH(1,(Working_Data!$A:$A="Rural+Urban")*(Working_Data!$B:$B=$F16)*(Working_Data!$C:$C=$E16),0))</f>
        <v>145.6</v>
      </c>
      <c r="J16" s="119">
        <f t="shared" si="0"/>
        <v>2.1101859244895891E-3</v>
      </c>
      <c r="K16" s="119">
        <f t="shared" si="1"/>
        <v>1.2309856678098048E-3</v>
      </c>
      <c r="L16" s="119">
        <f t="shared" si="2"/>
        <v>3.4458993797381117E-3</v>
      </c>
      <c r="M16" s="119">
        <f t="shared" ref="M16:M29" si="3">(G16-G4)/G4</f>
        <v>-1.8745739604633764E-3</v>
      </c>
      <c r="N16" s="119">
        <f t="shared" ref="N16:N29" si="4">(H16-H4)/H4</f>
        <v>4.04788011695906E-2</v>
      </c>
      <c r="O16" s="120">
        <f t="shared" ref="O16:O29" si="5">(I16-I4)/I4</f>
        <v>8.8191330343796573E-2</v>
      </c>
    </row>
    <row r="17" spans="1:15" ht="28.8" x14ac:dyDescent="0.3">
      <c r="A17" s="100" t="s">
        <v>17</v>
      </c>
      <c r="B17" s="101" t="s">
        <v>87</v>
      </c>
      <c r="D17" s="115" t="s">
        <v>106</v>
      </c>
      <c r="E17" s="116" t="s">
        <v>36</v>
      </c>
      <c r="F17" s="117">
        <v>2019</v>
      </c>
      <c r="G17" s="116" cm="1">
        <f t="array" ref="G17">SUM(INDEX(Working_Data!$D:$P,MATCH(1,(Working_Data!$A:$A="Rural+Urban")*(Working_Data!$B:$B=$F17)*(Working_Data!$C:$C=$E17),0),0))</f>
        <v>1762.9</v>
      </c>
      <c r="H17" s="117" cm="1">
        <f t="array" ref="H17">SUM(INDEX(Working_Data!$R:$AA,MATCH(1,(Working_Data!$A:$A="Rural+Urban")*(Working_Data!$B:$B=$F17)*(Working_Data!$C:$C=$E17),0),{1,2,3,4,5,6,8,10}))</f>
        <v>1141.9000000000001</v>
      </c>
      <c r="I17" s="116" cm="1">
        <f t="array" ref="I17">INDEX(Working_Data!$X:$X,MATCH(1,(Working_Data!$A:$A="Rural+Urban")*(Working_Data!$B:$B=$F17)*(Working_Data!$C:$C=$E17),0))</f>
        <v>146.19999999999999</v>
      </c>
      <c r="J17" s="119">
        <f t="shared" si="0"/>
        <v>3.3008935177281785E-3</v>
      </c>
      <c r="K17" s="119">
        <f t="shared" si="1"/>
        <v>2.8102221831913985E-3</v>
      </c>
      <c r="L17" s="119">
        <f t="shared" si="2"/>
        <v>4.120879120879082E-3</v>
      </c>
      <c r="M17" s="119">
        <f t="shared" si="3"/>
        <v>3.929384965831487E-3</v>
      </c>
      <c r="N17" s="119">
        <f t="shared" si="4"/>
        <v>3.9508420573509416E-2</v>
      </c>
      <c r="O17" s="120">
        <f t="shared" si="5"/>
        <v>8.8607594936708681E-2</v>
      </c>
    </row>
    <row r="18" spans="1:15" ht="28.8" x14ac:dyDescent="0.3">
      <c r="A18" s="100" t="s">
        <v>18</v>
      </c>
      <c r="B18" s="101" t="s">
        <v>87</v>
      </c>
      <c r="D18" s="115" t="s">
        <v>107</v>
      </c>
      <c r="E18" s="116" t="s">
        <v>37</v>
      </c>
      <c r="F18" s="117">
        <v>2019</v>
      </c>
      <c r="G18" s="116" cm="1">
        <f t="array" ref="G18">SUM(INDEX(Working_Data!$D:$P,MATCH(1,(Working_Data!$A:$A="Rural+Urban")*(Working_Data!$B:$B=$F18)*(Working_Data!$C:$C=$E18),0),0))</f>
        <v>1770.6333333333332</v>
      </c>
      <c r="H18" s="117" cm="1">
        <f t="array" ref="H18">SUM(INDEX(Working_Data!$R:$AA,MATCH(1,(Working_Data!$A:$A="Rural+Urban")*(Working_Data!$B:$B=$F18)*(Working_Data!$C:$C=$E18),0),{1,2,3,4,5,6,8,10}))</f>
        <v>1142.4333333333334</v>
      </c>
      <c r="I18" s="116" cm="1">
        <f t="array" ref="I18">INDEX(Working_Data!$X:$X,MATCH(1,(Working_Data!$A:$A="Rural+Urban")*(Working_Data!$B:$B=$F18)*(Working_Data!$C:$C=$E18),0))</f>
        <v>146.23333333333332</v>
      </c>
      <c r="J18" s="119">
        <f t="shared" si="0"/>
        <v>4.38671129010898E-3</v>
      </c>
      <c r="K18" s="119">
        <f t="shared" si="1"/>
        <v>4.6705782759725282E-4</v>
      </c>
      <c r="L18" s="119">
        <f t="shared" si="2"/>
        <v>2.2799817601457895E-4</v>
      </c>
      <c r="M18" s="119">
        <f t="shared" si="3"/>
        <v>7.7020848746986934E-3</v>
      </c>
      <c r="N18" s="119">
        <f t="shared" si="4"/>
        <v>3.3595705539974159E-2</v>
      </c>
      <c r="O18" s="120">
        <f t="shared" si="5"/>
        <v>8.1607495069033517E-2</v>
      </c>
    </row>
    <row r="19" spans="1:15" ht="28.8" x14ac:dyDescent="0.3">
      <c r="A19" s="100" t="s">
        <v>19</v>
      </c>
      <c r="B19" s="101" t="s">
        <v>87</v>
      </c>
      <c r="D19" s="115" t="s">
        <v>108</v>
      </c>
      <c r="E19" s="116" t="s">
        <v>38</v>
      </c>
      <c r="F19" s="117">
        <v>2019</v>
      </c>
      <c r="G19" s="116" cm="1">
        <f t="array" ref="G19">SUM(INDEX(Working_Data!$D:$P,MATCH(1,(Working_Data!$A:$A="Rural+Urban")*(Working_Data!$B:$B=$F19)*(Working_Data!$C:$C=$E19),0),0))</f>
        <v>1791.9000000000003</v>
      </c>
      <c r="H19" s="117" cm="1">
        <f t="array" ref="H19">SUM(INDEX(Working_Data!$R:$AA,MATCH(1,(Working_Data!$A:$A="Rural+Urban")*(Working_Data!$B:$B=$F19)*(Working_Data!$C:$C=$E19),0),{1,2,3,4,5,6,8,10}))</f>
        <v>1146.7</v>
      </c>
      <c r="I19" s="116" cm="1">
        <f t="array" ref="I19">INDEX(Working_Data!$X:$X,MATCH(1,(Working_Data!$A:$A="Rural+Urban")*(Working_Data!$B:$B=$F19)*(Working_Data!$C:$C=$E19),0))</f>
        <v>146.9</v>
      </c>
      <c r="J19" s="119">
        <f t="shared" si="0"/>
        <v>1.2010768275005426E-2</v>
      </c>
      <c r="K19" s="119">
        <f t="shared" si="1"/>
        <v>3.7347182913663683E-3</v>
      </c>
      <c r="L19" s="119">
        <f t="shared" si="2"/>
        <v>4.5589240939139667E-3</v>
      </c>
      <c r="M19" s="119">
        <f t="shared" si="3"/>
        <v>1.8240709171496967E-2</v>
      </c>
      <c r="N19" s="119">
        <f t="shared" si="4"/>
        <v>3.2504952278048026E-2</v>
      </c>
      <c r="O19" s="120">
        <f t="shared" si="5"/>
        <v>8.014705882352946E-2</v>
      </c>
    </row>
    <row r="20" spans="1:15" ht="28.8" x14ac:dyDescent="0.3">
      <c r="A20" s="100" t="s">
        <v>20</v>
      </c>
      <c r="B20" s="101" t="s">
        <v>87</v>
      </c>
      <c r="D20" s="115" t="s">
        <v>109</v>
      </c>
      <c r="E20" s="116" t="s">
        <v>39</v>
      </c>
      <c r="F20" s="117">
        <v>2019</v>
      </c>
      <c r="G20" s="116" cm="1">
        <f t="array" ref="G20">SUM(INDEX(Working_Data!$D:$P,MATCH(1,(Working_Data!$A:$A="Rural+Urban")*(Working_Data!$B:$B=$F20)*(Working_Data!$C:$C=$E20),0),0))</f>
        <v>1814.1000000000001</v>
      </c>
      <c r="H20" s="117" cm="1">
        <f t="array" ref="H20">SUM(INDEX(Working_Data!$R:$AA,MATCH(1,(Working_Data!$A:$A="Rural+Urban")*(Working_Data!$B:$B=$F20)*(Working_Data!$C:$C=$E20),0),{1,2,3,4,5,6,8,10}))</f>
        <v>1147.9000000000001</v>
      </c>
      <c r="I20" s="116" cm="1">
        <f t="array" ref="I20">INDEX(Working_Data!$X:$X,MATCH(1,(Working_Data!$A:$A="Rural+Urban")*(Working_Data!$B:$B=$F20)*(Working_Data!$C:$C=$E20),0))</f>
        <v>147.4</v>
      </c>
      <c r="J20" s="119">
        <f t="shared" si="0"/>
        <v>1.2389084212288529E-2</v>
      </c>
      <c r="K20" s="119">
        <f t="shared" si="1"/>
        <v>1.0464812069416983E-3</v>
      </c>
      <c r="L20" s="119">
        <f t="shared" si="2"/>
        <v>3.4036759700476512E-3</v>
      </c>
      <c r="M20" s="119">
        <f t="shared" si="3"/>
        <v>2.2546643368468518E-2</v>
      </c>
      <c r="N20" s="119">
        <f t="shared" si="4"/>
        <v>2.9783798331389652E-2</v>
      </c>
      <c r="O20" s="120">
        <f t="shared" si="5"/>
        <v>8.2232011747430375E-2</v>
      </c>
    </row>
    <row r="21" spans="1:15" ht="28.8" x14ac:dyDescent="0.3">
      <c r="A21" s="100" t="s">
        <v>21</v>
      </c>
      <c r="B21" s="101" t="s">
        <v>87</v>
      </c>
      <c r="D21" s="115" t="s">
        <v>110</v>
      </c>
      <c r="E21" s="116" t="s">
        <v>40</v>
      </c>
      <c r="F21" s="117">
        <v>2019</v>
      </c>
      <c r="G21" s="116" cm="1">
        <f t="array" ref="G21">SUM(INDEX(Working_Data!$D:$P,MATCH(1,(Working_Data!$A:$A="Rural+Urban")*(Working_Data!$B:$B=$F21)*(Working_Data!$C:$C=$E21),0),0))</f>
        <v>1837.5</v>
      </c>
      <c r="H21" s="117" cm="1">
        <f t="array" ref="H21">SUM(INDEX(Working_Data!$R:$AA,MATCH(1,(Working_Data!$A:$A="Rural+Urban")*(Working_Data!$B:$B=$F21)*(Working_Data!$C:$C=$E21),0),{1,2,3,4,5,6,8,10}))</f>
        <v>1150.7000000000003</v>
      </c>
      <c r="I21" s="116" cm="1">
        <f t="array" ref="I21">INDEX(Working_Data!$X:$X,MATCH(1,(Working_Data!$A:$A="Rural+Urban")*(Working_Data!$B:$B=$F21)*(Working_Data!$C:$C=$E21),0))</f>
        <v>147.9</v>
      </c>
      <c r="J21" s="119">
        <f t="shared" si="0"/>
        <v>1.289895816107153E-2</v>
      </c>
      <c r="K21" s="119">
        <f t="shared" si="1"/>
        <v>2.4392368673230957E-3</v>
      </c>
      <c r="L21" s="119">
        <f t="shared" si="2"/>
        <v>3.3921302578018993E-3</v>
      </c>
      <c r="M21" s="119">
        <f t="shared" si="3"/>
        <v>2.3505820754191525E-2</v>
      </c>
      <c r="N21" s="119">
        <f t="shared" si="4"/>
        <v>2.6494201605709224E-2</v>
      </c>
      <c r="O21" s="120">
        <f t="shared" si="5"/>
        <v>7.9562043795620485E-2</v>
      </c>
    </row>
    <row r="22" spans="1:15" ht="28.8" x14ac:dyDescent="0.3">
      <c r="A22" s="100" t="s">
        <v>22</v>
      </c>
      <c r="B22" s="101" t="s">
        <v>87</v>
      </c>
      <c r="D22" s="115" t="s">
        <v>111</v>
      </c>
      <c r="E22" s="116" t="s">
        <v>41</v>
      </c>
      <c r="F22" s="117">
        <v>2019</v>
      </c>
      <c r="G22" s="116" cm="1">
        <f t="array" ref="G22">SUM(INDEX(Working_Data!$D:$P,MATCH(1,(Working_Data!$A:$A="Rural+Urban")*(Working_Data!$B:$B=$F22)*(Working_Data!$C:$C=$E22),0),0))</f>
        <v>1846.5</v>
      </c>
      <c r="H22" s="117" cm="1">
        <f t="array" ref="H22">SUM(INDEX(Working_Data!$R:$AA,MATCH(1,(Working_Data!$A:$A="Rural+Urban")*(Working_Data!$B:$B=$F22)*(Working_Data!$C:$C=$E22),0),{1,2,3,4,5,6,8,10}))</f>
        <v>1152.9000000000001</v>
      </c>
      <c r="I22" s="116" cm="1">
        <f t="array" ref="I22">INDEX(Working_Data!$X:$X,MATCH(1,(Working_Data!$A:$A="Rural+Urban")*(Working_Data!$B:$B=$F22)*(Working_Data!$C:$C=$E22),0))</f>
        <v>148.5</v>
      </c>
      <c r="J22" s="119">
        <f t="shared" si="0"/>
        <v>4.8979591836734691E-3</v>
      </c>
      <c r="K22" s="119">
        <f t="shared" si="1"/>
        <v>1.9118797253843899E-3</v>
      </c>
      <c r="L22" s="119">
        <f t="shared" si="2"/>
        <v>4.0567951318458036E-3</v>
      </c>
      <c r="M22" s="119">
        <f t="shared" si="3"/>
        <v>2.6574748429421095E-2</v>
      </c>
      <c r="N22" s="119">
        <f t="shared" si="4"/>
        <v>2.2618414050026608E-2</v>
      </c>
      <c r="O22" s="120">
        <f t="shared" si="5"/>
        <v>7.843137254901969E-2</v>
      </c>
    </row>
    <row r="23" spans="1:15" ht="28.8" x14ac:dyDescent="0.3">
      <c r="A23" s="100" t="s">
        <v>24</v>
      </c>
      <c r="B23" s="101" t="s">
        <v>87</v>
      </c>
      <c r="D23" s="115" t="s">
        <v>112</v>
      </c>
      <c r="E23" s="116" t="s">
        <v>42</v>
      </c>
      <c r="F23" s="117">
        <v>2019</v>
      </c>
      <c r="G23" s="116" cm="1">
        <f t="array" ref="G23">SUM(INDEX(Working_Data!$D:$P,MATCH(1,(Working_Data!$A:$A="Rural+Urban")*(Working_Data!$B:$B=$F23)*(Working_Data!$C:$C=$E23),0),0))</f>
        <v>1857.6999999999998</v>
      </c>
      <c r="H23" s="117" cm="1">
        <f t="array" ref="H23">SUM(INDEX(Working_Data!$R:$AA,MATCH(1,(Working_Data!$A:$A="Rural+Urban")*(Working_Data!$B:$B=$F23)*(Working_Data!$C:$C=$E23),0),{1,2,3,4,5,6,8,10}))</f>
        <v>1155</v>
      </c>
      <c r="I23" s="116" cm="1">
        <f t="array" ref="I23">INDEX(Working_Data!$X:$X,MATCH(1,(Working_Data!$A:$A="Rural+Urban")*(Working_Data!$B:$B=$F23)*(Working_Data!$C:$C=$E23),0))</f>
        <v>149</v>
      </c>
      <c r="J23" s="119">
        <f t="shared" si="0"/>
        <v>6.0655293799078353E-3</v>
      </c>
      <c r="K23" s="119">
        <f t="shared" si="1"/>
        <v>1.8214936247722344E-3</v>
      </c>
      <c r="L23" s="119">
        <f t="shared" si="2"/>
        <v>3.3670033670033669E-3</v>
      </c>
      <c r="M23" s="119">
        <f t="shared" si="3"/>
        <v>4.3944928350660196E-2</v>
      </c>
      <c r="N23" s="119">
        <f t="shared" si="4"/>
        <v>1.9597457627118686E-2</v>
      </c>
      <c r="O23" s="120">
        <f t="shared" si="5"/>
        <v>7.6589595375722505E-2</v>
      </c>
    </row>
    <row r="24" spans="1:15" ht="28.8" x14ac:dyDescent="0.3">
      <c r="A24" s="100" t="s">
        <v>26</v>
      </c>
      <c r="B24" s="101" t="s">
        <v>87</v>
      </c>
      <c r="D24" s="115" t="s">
        <v>113</v>
      </c>
      <c r="E24" s="116" t="s">
        <v>43</v>
      </c>
      <c r="F24" s="117">
        <v>2019</v>
      </c>
      <c r="G24" s="116" cm="1">
        <f t="array" ref="G24">SUM(INDEX(Working_Data!$D:$P,MATCH(1,(Working_Data!$A:$A="Rural+Urban")*(Working_Data!$B:$B=$F24)*(Working_Data!$C:$C=$E24),0),0))</f>
        <v>1885.5999999999997</v>
      </c>
      <c r="H24" s="117" cm="1">
        <f t="array" ref="H24">SUM(INDEX(Working_Data!$R:$AA,MATCH(1,(Working_Data!$A:$A="Rural+Urban")*(Working_Data!$B:$B=$F24)*(Working_Data!$C:$C=$E24),0),{1,2,3,4,5,6,8,10}))</f>
        <v>1158.7</v>
      </c>
      <c r="I24" s="116" cm="1">
        <f t="array" ref="I24">INDEX(Working_Data!$X:$X,MATCH(1,(Working_Data!$A:$A="Rural+Urban")*(Working_Data!$B:$B=$F24)*(Working_Data!$C:$C=$E24),0))</f>
        <v>149.4</v>
      </c>
      <c r="J24" s="119">
        <f t="shared" si="0"/>
        <v>1.501857135167135E-2</v>
      </c>
      <c r="K24" s="119">
        <f t="shared" si="1"/>
        <v>3.2034632034632429E-3</v>
      </c>
      <c r="L24" s="119">
        <f t="shared" si="2"/>
        <v>2.6845637583892998E-3</v>
      </c>
      <c r="M24" s="119">
        <f t="shared" si="3"/>
        <v>6.159216304470197E-2</v>
      </c>
      <c r="N24" s="119">
        <f t="shared" si="4"/>
        <v>1.4890076202154681E-2</v>
      </c>
      <c r="O24" s="120">
        <f t="shared" si="5"/>
        <v>5.1372273047149974E-2</v>
      </c>
    </row>
    <row r="25" spans="1:15" x14ac:dyDescent="0.3">
      <c r="A25" s="102" t="s">
        <v>23</v>
      </c>
      <c r="B25" s="101" t="s">
        <v>23</v>
      </c>
      <c r="D25" s="115" t="s">
        <v>114</v>
      </c>
      <c r="E25" s="116" t="s">
        <v>44</v>
      </c>
      <c r="F25" s="117">
        <v>2019</v>
      </c>
      <c r="G25" s="116" cm="1">
        <f t="array" ref="G25">SUM(INDEX(Working_Data!$D:$P,MATCH(1,(Working_Data!$A:$A="Rural+Urban")*(Working_Data!$B:$B=$F25)*(Working_Data!$C:$C=$E25),0),0))</f>
        <v>1910.9</v>
      </c>
      <c r="H25" s="117" cm="1">
        <f t="array" ref="H25">SUM(INDEX(Working_Data!$R:$AA,MATCH(1,(Working_Data!$A:$A="Rural+Urban")*(Working_Data!$B:$B=$F25)*(Working_Data!$C:$C=$E25),0),{1,2,3,4,5,6,8,10}))</f>
        <v>1162.6999999999998</v>
      </c>
      <c r="I25" s="116" cm="1">
        <f t="array" ref="I25">INDEX(Working_Data!$X:$X,MATCH(1,(Working_Data!$A:$A="Rural+Urban")*(Working_Data!$B:$B=$F25)*(Working_Data!$C:$C=$E25),0))</f>
        <v>149.9</v>
      </c>
      <c r="J25" s="119">
        <f t="shared" si="0"/>
        <v>1.3417479847263689E-2</v>
      </c>
      <c r="K25" s="119">
        <f t="shared" si="1"/>
        <v>3.4521446448604232E-3</v>
      </c>
      <c r="L25" s="119">
        <f t="shared" si="2"/>
        <v>3.3467202141900937E-3</v>
      </c>
      <c r="M25" s="119">
        <f t="shared" si="3"/>
        <v>7.6138987441572228E-2</v>
      </c>
      <c r="N25" s="119">
        <f t="shared" si="4"/>
        <v>1.8750547621133675E-2</v>
      </c>
      <c r="O25" s="120">
        <f t="shared" si="5"/>
        <v>5.4890921885995862E-2</v>
      </c>
    </row>
    <row r="26" spans="1:15" ht="28.8" x14ac:dyDescent="0.3">
      <c r="A26" s="100" t="s">
        <v>16</v>
      </c>
      <c r="B26" s="103" t="s">
        <v>88</v>
      </c>
      <c r="D26" s="115" t="s">
        <v>115</v>
      </c>
      <c r="E26" s="116" t="s">
        <v>45</v>
      </c>
      <c r="F26" s="117">
        <v>2019</v>
      </c>
      <c r="G26" s="116" cm="1">
        <f t="array" ref="G26">SUM(INDEX(Working_Data!$D:$P,MATCH(1,(Working_Data!$A:$A="Rural+Urban")*(Working_Data!$B:$B=$F26)*(Working_Data!$C:$C=$E26),0),0))</f>
        <v>1946.1000000000001</v>
      </c>
      <c r="H26" s="117" cm="1">
        <f t="array" ref="H26">SUM(INDEX(Working_Data!$R:$AA,MATCH(1,(Working_Data!$A:$A="Rural+Urban")*(Working_Data!$B:$B=$F26)*(Working_Data!$C:$C=$E26),0),{1,2,3,4,5,6,8,10}))</f>
        <v>1168.4000000000001</v>
      </c>
      <c r="I26" s="116" cm="1">
        <f t="array" ref="I26">INDEX(Working_Data!$X:$X,MATCH(1,(Working_Data!$A:$A="Rural+Urban")*(Working_Data!$B:$B=$F26)*(Working_Data!$C:$C=$E26),0))</f>
        <v>150.4</v>
      </c>
      <c r="J26" s="119">
        <f t="shared" si="0"/>
        <v>1.8420639489245928E-2</v>
      </c>
      <c r="K26" s="119">
        <f t="shared" si="1"/>
        <v>4.9023823858263295E-3</v>
      </c>
      <c r="L26" s="119">
        <f t="shared" si="2"/>
        <v>3.3355570380253501E-3</v>
      </c>
      <c r="M26" s="119">
        <f t="shared" si="3"/>
        <v>0.103982300884956</v>
      </c>
      <c r="N26" s="119">
        <f t="shared" si="4"/>
        <v>2.4552788495264818E-2</v>
      </c>
      <c r="O26" s="120">
        <f t="shared" si="5"/>
        <v>3.7957211870255345E-2</v>
      </c>
    </row>
    <row r="27" spans="1:15" ht="28.8" x14ac:dyDescent="0.3">
      <c r="A27" s="100" t="s">
        <v>25</v>
      </c>
      <c r="B27" s="103" t="s">
        <v>88</v>
      </c>
      <c r="D27" s="115" t="s">
        <v>116</v>
      </c>
      <c r="E27" s="116" t="s">
        <v>31</v>
      </c>
      <c r="F27" s="117">
        <v>2020</v>
      </c>
      <c r="G27" s="116" cm="1">
        <f t="array" ref="G27">SUM(INDEX(Working_Data!$D:$P,MATCH(1,(Working_Data!$A:$A="Rural+Urban")*(Working_Data!$B:$B=$F27)*(Working_Data!$C:$C=$E27),0),0))</f>
        <v>1940.3999999999999</v>
      </c>
      <c r="H27" s="117" cm="1">
        <f t="array" ref="H27">SUM(INDEX(Working_Data!$R:$AA,MATCH(1,(Working_Data!$A:$A="Rural+Urban")*(Working_Data!$B:$B=$F27)*(Working_Data!$C:$C=$E27),0),{1,2,3,4,5,6,8,10}))</f>
        <v>1172.9000000000001</v>
      </c>
      <c r="I27" s="116" cm="1">
        <f t="array" ref="I27">INDEX(Working_Data!$X:$X,MATCH(1,(Working_Data!$A:$A="Rural+Urban")*(Working_Data!$B:$B=$F27)*(Working_Data!$C:$C=$E27),0))</f>
        <v>151.19999999999999</v>
      </c>
      <c r="J27" s="119">
        <f t="shared" si="0"/>
        <v>-2.9289347926623878E-3</v>
      </c>
      <c r="K27" s="119">
        <f t="shared" si="1"/>
        <v>3.8514207463197533E-3</v>
      </c>
      <c r="L27" s="119">
        <f t="shared" si="2"/>
        <v>5.319148936170099E-3</v>
      </c>
      <c r="M27" s="119">
        <f t="shared" si="3"/>
        <v>0.1066499372647428</v>
      </c>
      <c r="N27" s="119">
        <f t="shared" si="4"/>
        <v>3.1302206981447409E-2</v>
      </c>
      <c r="O27" s="120">
        <f t="shared" si="5"/>
        <v>4.2039972432804926E-2</v>
      </c>
    </row>
    <row r="28" spans="1:15" ht="28.8" x14ac:dyDescent="0.3">
      <c r="A28" s="100" t="s">
        <v>27</v>
      </c>
      <c r="B28" s="103" t="s">
        <v>88</v>
      </c>
      <c r="D28" s="115" t="s">
        <v>117</v>
      </c>
      <c r="E28" s="116" t="s">
        <v>35</v>
      </c>
      <c r="F28" s="117">
        <v>2020</v>
      </c>
      <c r="G28" s="116" cm="1">
        <f t="array" ref="G28">SUM(INDEX(Working_Data!$D:$P,MATCH(1,(Working_Data!$A:$A="Rural+Urban")*(Working_Data!$B:$B=$F28)*(Working_Data!$C:$C=$E28),0),0))</f>
        <v>1911.6</v>
      </c>
      <c r="H28" s="117" cm="1">
        <f t="array" ref="H28">SUM(INDEX(Working_Data!$R:$AA,MATCH(1,(Working_Data!$A:$A="Rural+Urban")*(Working_Data!$B:$B=$F28)*(Working_Data!$C:$C=$E28),0),{1,2,3,4,5,6,8,10}))</f>
        <v>1176.9000000000001</v>
      </c>
      <c r="I28" s="116" cm="1">
        <f t="array" ref="I28">INDEX(Working_Data!$X:$X,MATCH(1,(Working_Data!$A:$A="Rural+Urban")*(Working_Data!$B:$B=$F28)*(Working_Data!$C:$C=$E28),0))</f>
        <v>151.69999999999999</v>
      </c>
      <c r="J28" s="119">
        <f t="shared" si="0"/>
        <v>-1.4842300556586249E-2</v>
      </c>
      <c r="K28" s="119">
        <f t="shared" si="1"/>
        <v>3.4103504135049876E-3</v>
      </c>
      <c r="L28" s="119">
        <f t="shared" si="2"/>
        <v>3.3068783068783071E-3</v>
      </c>
      <c r="M28" s="119">
        <f t="shared" si="3"/>
        <v>8.7928973877411651E-2</v>
      </c>
      <c r="N28" s="119">
        <f t="shared" si="4"/>
        <v>3.3547027311846882E-2</v>
      </c>
      <c r="O28" s="120">
        <f t="shared" si="5"/>
        <v>4.1895604395604358E-2</v>
      </c>
    </row>
    <row r="29" spans="1:15" x14ac:dyDescent="0.3">
      <c r="A29" s="100" t="s">
        <v>28</v>
      </c>
      <c r="B29" s="103" t="s">
        <v>88</v>
      </c>
      <c r="D29" s="115" t="s">
        <v>118</v>
      </c>
      <c r="E29" s="116" t="s">
        <v>36</v>
      </c>
      <c r="F29" s="117">
        <v>2020</v>
      </c>
      <c r="G29" s="116" cm="1">
        <f t="array" ref="G29">SUM(INDEX(Working_Data!$D:$P,MATCH(1,(Working_Data!$A:$A="Rural+Urban")*(Working_Data!$B:$B=$F29)*(Working_Data!$C:$C=$E29),0),0))</f>
        <v>1895.4</v>
      </c>
      <c r="H29" s="117" cm="1">
        <f t="array" ref="H29">SUM(INDEX(Working_Data!$R:$AA,MATCH(1,(Working_Data!$A:$A="Rural+Urban")*(Working_Data!$B:$B=$F29)*(Working_Data!$C:$C=$E29),0),{1,2,3,4,5,6,8,10}))</f>
        <v>1178.7</v>
      </c>
      <c r="I29" s="116" cm="1">
        <f t="array" ref="I29">INDEX(Working_Data!$X:$X,MATCH(1,(Working_Data!$A:$A="Rural+Urban")*(Working_Data!$B:$B=$F29)*(Working_Data!$C:$C=$E29),0))</f>
        <v>152.30000000000001</v>
      </c>
      <c r="J29" s="119">
        <f t="shared" si="0"/>
        <v>-8.4745762711863452E-3</v>
      </c>
      <c r="K29" s="119">
        <f t="shared" si="1"/>
        <v>1.5294417537598389E-3</v>
      </c>
      <c r="L29" s="119">
        <f t="shared" si="2"/>
        <v>3.9551746868821541E-3</v>
      </c>
      <c r="M29" s="119">
        <f t="shared" si="3"/>
        <v>7.516024731975722E-2</v>
      </c>
      <c r="N29" s="119">
        <f t="shared" si="4"/>
        <v>3.2226990104212233E-2</v>
      </c>
      <c r="O29" s="120">
        <f t="shared" si="5"/>
        <v>4.1723666210670474E-2</v>
      </c>
    </row>
    <row r="30" spans="1:15" ht="15" thickBot="1" x14ac:dyDescent="0.35">
      <c r="A30" s="104" t="s">
        <v>29</v>
      </c>
      <c r="B30" s="105" t="s">
        <v>88</v>
      </c>
      <c r="D30" s="115" t="s">
        <v>119</v>
      </c>
      <c r="E30" s="116" t="s">
        <v>37</v>
      </c>
      <c r="F30" s="117">
        <v>2020</v>
      </c>
      <c r="G30" s="116" cm="1">
        <f t="array" ref="G30">SUM(INDEX(Working_Data!$D:$P,MATCH(1,(Working_Data!$A:$A="Rural+Urban")*(Working_Data!$B:$B=$F30)*(Working_Data!$C:$C=$E30),0),0))</f>
        <v>1958.6000000000001</v>
      </c>
      <c r="H30" s="117" cm="1">
        <f t="array" ref="H30">SUM(INDEX(Working_Data!$R:$AA,MATCH(1,(Working_Data!$A:$A="Rural+Urban")*(Working_Data!$B:$B=$F30)*(Working_Data!$C:$C=$E30),0),{1,2,3,4,5,6,8,10}))</f>
        <v>1260.7</v>
      </c>
      <c r="I30" s="116" cm="1">
        <f t="array" ref="I30">INDEX(Working_Data!$X:$X,MATCH(1,(Working_Data!$A:$A="Rural+Urban")*(Working_Data!$B:$B=$F30)*(Working_Data!$C:$C=$E30),0))</f>
        <v>150.69999999999999</v>
      </c>
      <c r="J30" s="119">
        <f t="shared" si="0"/>
        <v>3.3343885195737069E-2</v>
      </c>
      <c r="K30" s="119">
        <f t="shared" si="1"/>
        <v>6.9568168321031645E-2</v>
      </c>
      <c r="L30" s="119">
        <f t="shared" si="2"/>
        <v>-1.0505581089954186E-2</v>
      </c>
      <c r="M30" s="119">
        <f t="shared" ref="M30:O43" si="6">(G30-G18)/G18</f>
        <v>0.10615787194789074</v>
      </c>
      <c r="N30" s="119">
        <f t="shared" si="6"/>
        <v>0.10352172263881187</v>
      </c>
      <c r="O30" s="120">
        <f t="shared" si="6"/>
        <v>3.0544791429222718E-2</v>
      </c>
    </row>
    <row r="31" spans="1:15" x14ac:dyDescent="0.3">
      <c r="D31" s="115" t="s">
        <v>120</v>
      </c>
      <c r="E31" s="116" t="s">
        <v>38</v>
      </c>
      <c r="F31" s="117">
        <v>2020</v>
      </c>
      <c r="G31" s="116" cm="1">
        <f t="array" ref="G31">SUM(INDEX(Working_Data!$D:$P,MATCH(1,(Working_Data!$A:$A="Rural+Urban")*(Working_Data!$B:$B=$F31)*(Working_Data!$C:$C=$E31),0),0))</f>
        <v>1940.2666666666667</v>
      </c>
      <c r="H31" s="117" cm="1">
        <f t="array" ref="H31">SUM(INDEX(Working_Data!$R:$AA,MATCH(1,(Working_Data!$A:$A="Rural+Urban")*(Working_Data!$B:$B=$F31)*(Working_Data!$C:$C=$E31),0),{1,2,3,4,5,6,8,10}))</f>
        <v>1052.4333333333334</v>
      </c>
      <c r="I31" s="116" cm="1">
        <f t="array" ref="I31">INDEX(Working_Data!$X:$X,MATCH(1,(Working_Data!$A:$A="Rural+Urban")*(Working_Data!$B:$B=$F31)*(Working_Data!$C:$C=$E31),0))</f>
        <v>152.46666666666667</v>
      </c>
      <c r="J31" s="119">
        <f t="shared" si="0"/>
        <v>-9.3604275162531819E-3</v>
      </c>
      <c r="K31" s="119">
        <f t="shared" si="1"/>
        <v>-0.16519922794214853</v>
      </c>
      <c r="L31" s="119">
        <f t="shared" si="2"/>
        <v>1.172307011723079E-2</v>
      </c>
      <c r="M31" s="119">
        <f t="shared" si="6"/>
        <v>8.2798519262607465E-2</v>
      </c>
      <c r="N31" s="119">
        <f t="shared" si="6"/>
        <v>-8.2206912589750283E-2</v>
      </c>
      <c r="O31" s="120">
        <f t="shared" si="6"/>
        <v>3.7894259133197161E-2</v>
      </c>
    </row>
    <row r="32" spans="1:15" x14ac:dyDescent="0.3">
      <c r="D32" s="115" t="s">
        <v>121</v>
      </c>
      <c r="E32" s="116" t="s">
        <v>39</v>
      </c>
      <c r="F32" s="117">
        <v>2020</v>
      </c>
      <c r="G32" s="116" cm="1">
        <f t="array" ref="G32">SUM(INDEX(Working_Data!$D:$P,MATCH(1,(Working_Data!$A:$A="Rural+Urban")*(Working_Data!$B:$B=$F32)*(Working_Data!$C:$C=$E32),0),0))</f>
        <v>1966.8000000000002</v>
      </c>
      <c r="H32" s="117" cm="1">
        <f t="array" ref="H32">SUM(INDEX(Working_Data!$R:$AA,MATCH(1,(Working_Data!$A:$A="Rural+Urban")*(Working_Data!$B:$B=$F32)*(Working_Data!$C:$C=$E32),0),{1,2,3,4,5,6,8,10}))</f>
        <v>1182.7</v>
      </c>
      <c r="I32" s="116" cm="1">
        <f t="array" ref="I32">INDEX(Working_Data!$X:$X,MATCH(1,(Working_Data!$A:$A="Rural+Urban")*(Working_Data!$B:$B=$F32)*(Working_Data!$C:$C=$E32),0))</f>
        <v>154.4</v>
      </c>
      <c r="J32" s="119">
        <f t="shared" si="0"/>
        <v>1.3675096206707083E-2</v>
      </c>
      <c r="K32" s="119">
        <f t="shared" si="1"/>
        <v>0.12377664460139991</v>
      </c>
      <c r="L32" s="119">
        <f t="shared" si="2"/>
        <v>1.2680367293397488E-2</v>
      </c>
      <c r="M32" s="119">
        <f t="shared" si="6"/>
        <v>8.4173970563916012E-2</v>
      </c>
      <c r="N32" s="119">
        <f t="shared" si="6"/>
        <v>3.0316229636727896E-2</v>
      </c>
      <c r="O32" s="120">
        <f t="shared" si="6"/>
        <v>4.7489823609226593E-2</v>
      </c>
    </row>
    <row r="33" spans="4:15" x14ac:dyDescent="0.3">
      <c r="D33" s="115" t="s">
        <v>122</v>
      </c>
      <c r="E33" s="116" t="s">
        <v>40</v>
      </c>
      <c r="F33" s="117">
        <v>2020</v>
      </c>
      <c r="G33" s="116" cm="1">
        <f t="array" ref="G33">SUM(INDEX(Working_Data!$D:$P,MATCH(1,(Working_Data!$A:$A="Rural+Urban")*(Working_Data!$B:$B=$F33)*(Working_Data!$C:$C=$E33),0),0))</f>
        <v>1966.8000000000002</v>
      </c>
      <c r="H33" s="117" cm="1">
        <f t="array" ref="H33">SUM(INDEX(Working_Data!$R:$AA,MATCH(1,(Working_Data!$A:$A="Rural+Urban")*(Working_Data!$B:$B=$F33)*(Working_Data!$C:$C=$E33),0),{1,2,3,4,5,6,8,10}))</f>
        <v>1182.7</v>
      </c>
      <c r="I33" s="116" cm="1">
        <f t="array" ref="I33">INDEX(Working_Data!$X:$X,MATCH(1,(Working_Data!$A:$A="Rural+Urban")*(Working_Data!$B:$B=$F33)*(Working_Data!$C:$C=$E33),0))</f>
        <v>154.4</v>
      </c>
      <c r="J33" s="119">
        <f t="shared" si="0"/>
        <v>0</v>
      </c>
      <c r="K33" s="119">
        <f t="shared" si="1"/>
        <v>0</v>
      </c>
      <c r="L33" s="119">
        <f t="shared" si="2"/>
        <v>0</v>
      </c>
      <c r="M33" s="119">
        <f t="shared" si="6"/>
        <v>7.036734693877561E-2</v>
      </c>
      <c r="N33" s="119">
        <f t="shared" si="6"/>
        <v>2.7809159641956866E-2</v>
      </c>
      <c r="O33" s="120">
        <f t="shared" si="6"/>
        <v>4.3948613928329952E-2</v>
      </c>
    </row>
    <row r="34" spans="4:15" x14ac:dyDescent="0.3">
      <c r="D34" s="115" t="s">
        <v>123</v>
      </c>
      <c r="E34" s="116" t="s">
        <v>41</v>
      </c>
      <c r="F34" s="117">
        <v>2020</v>
      </c>
      <c r="G34" s="116" cm="1">
        <f t="array" ref="G34">SUM(INDEX(Working_Data!$D:$P,MATCH(1,(Working_Data!$A:$A="Rural+Urban")*(Working_Data!$B:$B=$F34)*(Working_Data!$C:$C=$E34),0),0))</f>
        <v>1995.1999999999998</v>
      </c>
      <c r="H34" s="117" cm="1">
        <f t="array" ref="H34">SUM(INDEX(Working_Data!$R:$AA,MATCH(1,(Working_Data!$A:$A="Rural+Urban")*(Working_Data!$B:$B=$F34)*(Working_Data!$C:$C=$E34),0),{1,2,3,4,5,6,8,10}))</f>
        <v>1192.0999999999999</v>
      </c>
      <c r="I34" s="116" cm="1">
        <f t="array" ref="I34">INDEX(Working_Data!$X:$X,MATCH(1,(Working_Data!$A:$A="Rural+Urban")*(Working_Data!$B:$B=$F34)*(Working_Data!$C:$C=$E34),0))</f>
        <v>155</v>
      </c>
      <c r="J34" s="119">
        <f t="shared" si="0"/>
        <v>1.4439699003457207E-2</v>
      </c>
      <c r="K34" s="119">
        <f t="shared" si="1"/>
        <v>7.9479157859134713E-3</v>
      </c>
      <c r="L34" s="119">
        <f t="shared" si="2"/>
        <v>3.8860103626942636E-3</v>
      </c>
      <c r="M34" s="119">
        <f t="shared" si="6"/>
        <v>8.0530733820741843E-2</v>
      </c>
      <c r="N34" s="119">
        <f t="shared" si="6"/>
        <v>3.400121432908302E-2</v>
      </c>
      <c r="O34" s="120">
        <f t="shared" si="6"/>
        <v>4.3771043771043773E-2</v>
      </c>
    </row>
    <row r="35" spans="4:15" x14ac:dyDescent="0.3">
      <c r="D35" s="115" t="s">
        <v>124</v>
      </c>
      <c r="E35" s="116" t="s">
        <v>42</v>
      </c>
      <c r="F35" s="117">
        <v>2020</v>
      </c>
      <c r="G35" s="116" cm="1">
        <f t="array" ref="G35">SUM(INDEX(Working_Data!$D:$P,MATCH(1,(Working_Data!$A:$A="Rural+Urban")*(Working_Data!$B:$B=$F35)*(Working_Data!$C:$C=$E35),0),0))</f>
        <v>2007</v>
      </c>
      <c r="H35" s="117" cm="1">
        <f t="array" ref="H35">SUM(INDEX(Working_Data!$R:$AA,MATCH(1,(Working_Data!$A:$A="Rural+Urban")*(Working_Data!$B:$B=$F35)*(Working_Data!$C:$C=$E35),0),{1,2,3,4,5,6,8,10}))</f>
        <v>1194.6999999999998</v>
      </c>
      <c r="I35" s="116" cm="1">
        <f t="array" ref="I35">INDEX(Working_Data!$X:$X,MATCH(1,(Working_Data!$A:$A="Rural+Urban")*(Working_Data!$B:$B=$F35)*(Working_Data!$C:$C=$E35),0))</f>
        <v>155.6</v>
      </c>
      <c r="J35" s="119">
        <f t="shared" si="0"/>
        <v>5.9141940657579106E-3</v>
      </c>
      <c r="K35" s="119">
        <f t="shared" si="1"/>
        <v>2.1810250817883643E-3</v>
      </c>
      <c r="L35" s="119">
        <f t="shared" si="2"/>
        <v>3.870967741935447E-3</v>
      </c>
      <c r="M35" s="119">
        <f t="shared" si="6"/>
        <v>8.0368197233137859E-2</v>
      </c>
      <c r="N35" s="119">
        <f t="shared" si="6"/>
        <v>3.4372294372294214E-2</v>
      </c>
      <c r="O35" s="120">
        <f t="shared" si="6"/>
        <v>4.4295302013422778E-2</v>
      </c>
    </row>
    <row r="36" spans="4:15" x14ac:dyDescent="0.3">
      <c r="D36" s="115" t="s">
        <v>125</v>
      </c>
      <c r="E36" s="116" t="s">
        <v>43</v>
      </c>
      <c r="F36" s="117">
        <v>2020</v>
      </c>
      <c r="G36" s="116" cm="1">
        <f t="array" ref="G36">SUM(INDEX(Working_Data!$D:$P,MATCH(1,(Working_Data!$A:$A="Rural+Urban")*(Working_Data!$B:$B=$F36)*(Working_Data!$C:$C=$E36),0),0))</f>
        <v>2048.6000000000004</v>
      </c>
      <c r="H36" s="117" cm="1">
        <f t="array" ref="H36">SUM(INDEX(Working_Data!$R:$AA,MATCH(1,(Working_Data!$A:$A="Rural+Urban")*(Working_Data!$B:$B=$F36)*(Working_Data!$C:$C=$E36),0),{1,2,3,4,5,6,8,10}))</f>
        <v>1197.9999999999998</v>
      </c>
      <c r="I36" s="116" cm="1">
        <f t="array" ref="I36">INDEX(Working_Data!$X:$X,MATCH(1,(Working_Data!$A:$A="Rural+Urban")*(Working_Data!$B:$B=$F36)*(Working_Data!$C:$C=$E36),0))</f>
        <v>156.30000000000001</v>
      </c>
      <c r="J36" s="119">
        <f t="shared" si="0"/>
        <v>2.0727453911310596E-2</v>
      </c>
      <c r="K36" s="119">
        <f t="shared" si="1"/>
        <v>2.7621997154096889E-3</v>
      </c>
      <c r="L36" s="119">
        <f t="shared" si="2"/>
        <v>4.4987146529564077E-3</v>
      </c>
      <c r="M36" s="119">
        <f t="shared" si="6"/>
        <v>8.6444633008061475E-2</v>
      </c>
      <c r="N36" s="119">
        <f t="shared" si="6"/>
        <v>3.3917321135755352E-2</v>
      </c>
      <c r="O36" s="120">
        <f t="shared" si="6"/>
        <v>4.6184738955823326E-2</v>
      </c>
    </row>
    <row r="37" spans="4:15" x14ac:dyDescent="0.3">
      <c r="D37" s="115" t="s">
        <v>126</v>
      </c>
      <c r="E37" s="116" t="s">
        <v>44</v>
      </c>
      <c r="F37" s="117">
        <v>2020</v>
      </c>
      <c r="G37" s="116" cm="1">
        <f t="array" ref="G37">SUM(INDEX(Working_Data!$D:$P,MATCH(1,(Working_Data!$A:$A="Rural+Urban")*(Working_Data!$B:$B=$F37)*(Working_Data!$C:$C=$E37),0),0))</f>
        <v>2095.6</v>
      </c>
      <c r="H37" s="117" cm="1">
        <f t="array" ref="H37">SUM(INDEX(Working_Data!$R:$AA,MATCH(1,(Working_Data!$A:$A="Rural+Urban")*(Working_Data!$B:$B=$F37)*(Working_Data!$C:$C=$E37),0),{1,2,3,4,5,6,8,10}))</f>
        <v>1201.8</v>
      </c>
      <c r="I37" s="116" cm="1">
        <f t="array" ref="I37">INDEX(Working_Data!$X:$X,MATCH(1,(Working_Data!$A:$A="Rural+Urban")*(Working_Data!$B:$B=$F37)*(Working_Data!$C:$C=$E37),0))</f>
        <v>157.19999999999999</v>
      </c>
      <c r="J37" s="119">
        <f t="shared" si="0"/>
        <v>2.2942497315239448E-2</v>
      </c>
      <c r="K37" s="119">
        <f t="shared" si="1"/>
        <v>3.1719532554258618E-3</v>
      </c>
      <c r="L37" s="119">
        <f t="shared" si="2"/>
        <v>5.7581573896351712E-3</v>
      </c>
      <c r="M37" s="119">
        <f t="shared" si="6"/>
        <v>9.6656025956355543E-2</v>
      </c>
      <c r="N37" s="119">
        <f t="shared" si="6"/>
        <v>3.3628623032596665E-2</v>
      </c>
      <c r="O37" s="120">
        <f t="shared" si="6"/>
        <v>4.8699132755169995E-2</v>
      </c>
    </row>
    <row r="38" spans="4:15" x14ac:dyDescent="0.3">
      <c r="D38" s="115" t="s">
        <v>127</v>
      </c>
      <c r="E38" s="116" t="s">
        <v>45</v>
      </c>
      <c r="F38" s="117">
        <v>2020</v>
      </c>
      <c r="G38" s="116" cm="1">
        <f t="array" ref="G38">SUM(INDEX(Working_Data!$D:$P,MATCH(1,(Working_Data!$A:$A="Rural+Urban")*(Working_Data!$B:$B=$F38)*(Working_Data!$C:$C=$E38),0),0))</f>
        <v>2109.1</v>
      </c>
      <c r="H38" s="117" cm="1">
        <f t="array" ref="H38">SUM(INDEX(Working_Data!$R:$AA,MATCH(1,(Working_Data!$A:$A="Rural+Urban")*(Working_Data!$B:$B=$F38)*(Working_Data!$C:$C=$E38),0),{1,2,3,4,5,6,8,10}))</f>
        <v>1206.8000000000002</v>
      </c>
      <c r="I38" s="116" cm="1">
        <f t="array" ref="I38">INDEX(Working_Data!$X:$X,MATCH(1,(Working_Data!$A:$A="Rural+Urban")*(Working_Data!$B:$B=$F38)*(Working_Data!$C:$C=$E38),0))</f>
        <v>158.30000000000001</v>
      </c>
      <c r="J38" s="119">
        <f t="shared" si="0"/>
        <v>6.4420690971559464E-3</v>
      </c>
      <c r="K38" s="119">
        <f t="shared" si="1"/>
        <v>4.1604260276254185E-3</v>
      </c>
      <c r="L38" s="119">
        <f t="shared" si="2"/>
        <v>6.9974554707380584E-3</v>
      </c>
      <c r="M38" s="119">
        <f t="shared" si="6"/>
        <v>8.3757258105955384E-2</v>
      </c>
      <c r="N38" s="119">
        <f t="shared" si="6"/>
        <v>3.2865457035261975E-2</v>
      </c>
      <c r="O38" s="120">
        <f t="shared" si="6"/>
        <v>5.2526595744680889E-2</v>
      </c>
    </row>
    <row r="39" spans="4:15" x14ac:dyDescent="0.3">
      <c r="D39" s="115" t="s">
        <v>128</v>
      </c>
      <c r="E39" s="116" t="s">
        <v>31</v>
      </c>
      <c r="F39" s="117">
        <v>2021</v>
      </c>
      <c r="G39" s="116" cm="1">
        <f t="array" ref="G39">SUM(INDEX(Working_Data!$D:$P,MATCH(1,(Working_Data!$A:$A="Rural+Urban")*(Working_Data!$B:$B=$F39)*(Working_Data!$C:$C=$E39),0),0))</f>
        <v>2076.5</v>
      </c>
      <c r="H39" s="117" cm="1">
        <f t="array" ref="H39">SUM(INDEX(Working_Data!$R:$AA,MATCH(1,(Working_Data!$A:$A="Rural+Urban")*(Working_Data!$B:$B=$F39)*(Working_Data!$C:$C=$E39),0),{1,2,3,4,5,6,8,10}))</f>
        <v>1212.5</v>
      </c>
      <c r="I39" s="116" cm="1">
        <f t="array" ref="I39">INDEX(Working_Data!$X:$X,MATCH(1,(Working_Data!$A:$A="Rural+Urban")*(Working_Data!$B:$B=$F39)*(Working_Data!$C:$C=$E39),0))</f>
        <v>159.30000000000001</v>
      </c>
      <c r="J39" s="119">
        <f t="shared" si="0"/>
        <v>-1.5456829927457167E-2</v>
      </c>
      <c r="K39" s="119">
        <f t="shared" si="1"/>
        <v>4.7232350016571242E-3</v>
      </c>
      <c r="L39" s="119">
        <f t="shared" si="2"/>
        <v>6.3171193935565376E-3</v>
      </c>
      <c r="M39" s="119">
        <f t="shared" si="6"/>
        <v>7.0140177283034497E-2</v>
      </c>
      <c r="N39" s="119">
        <f t="shared" si="6"/>
        <v>3.3762469093699295E-2</v>
      </c>
      <c r="O39" s="120">
        <f t="shared" si="6"/>
        <v>5.3571428571428728E-2</v>
      </c>
    </row>
    <row r="40" spans="4:15" x14ac:dyDescent="0.3">
      <c r="D40" s="115" t="s">
        <v>129</v>
      </c>
      <c r="E40" s="116" t="s">
        <v>35</v>
      </c>
      <c r="F40" s="117">
        <v>2021</v>
      </c>
      <c r="G40" s="116" cm="1">
        <f t="array" ref="G40">SUM(INDEX(Working_Data!$D:$P,MATCH(1,(Working_Data!$A:$A="Rural+Urban")*(Working_Data!$B:$B=$F40)*(Working_Data!$C:$C=$E40),0),0))</f>
        <v>2039.3000000000002</v>
      </c>
      <c r="H40" s="117" cm="1">
        <f t="array" ref="H40">SUM(INDEX(Working_Data!$R:$AA,MATCH(1,(Working_Data!$A:$A="Rural+Urban")*(Working_Data!$B:$B=$F40)*(Working_Data!$C:$C=$E40),0),{1,2,3,4,5,6,8,10}))</f>
        <v>1228.0999999999999</v>
      </c>
      <c r="I40" s="116" cm="1">
        <f t="array" ref="I40">INDEX(Working_Data!$X:$X,MATCH(1,(Working_Data!$A:$A="Rural+Urban")*(Working_Data!$B:$B=$F40)*(Working_Data!$C:$C=$E40),0))</f>
        <v>161.30000000000001</v>
      </c>
      <c r="J40" s="119">
        <f t="shared" si="0"/>
        <v>-1.7914760414158352E-2</v>
      </c>
      <c r="K40" s="119">
        <f t="shared" si="1"/>
        <v>1.2865979381443224E-2</v>
      </c>
      <c r="L40" s="119">
        <f t="shared" si="2"/>
        <v>1.2554927809165096E-2</v>
      </c>
      <c r="M40" s="119">
        <f t="shared" si="6"/>
        <v>6.680267838459944E-2</v>
      </c>
      <c r="N40" s="119">
        <f t="shared" si="6"/>
        <v>4.3504120995836365E-2</v>
      </c>
      <c r="O40" s="120">
        <f t="shared" si="6"/>
        <v>6.3282794990112218E-2</v>
      </c>
    </row>
    <row r="41" spans="4:15" x14ac:dyDescent="0.3">
      <c r="D41" s="115" t="s">
        <v>130</v>
      </c>
      <c r="E41" s="116" t="s">
        <v>36</v>
      </c>
      <c r="F41" s="117">
        <v>2021</v>
      </c>
      <c r="G41" s="116" cm="1">
        <f t="array" ref="G41">SUM(INDEX(Working_Data!$D:$P,MATCH(1,(Working_Data!$A:$A="Rural+Urban")*(Working_Data!$B:$B=$F41)*(Working_Data!$C:$C=$E41),0),0))</f>
        <v>2039.3999999999999</v>
      </c>
      <c r="H41" s="117" cm="1">
        <f t="array" ref="H41">SUM(INDEX(Working_Data!$R:$AA,MATCH(1,(Working_Data!$A:$A="Rural+Urban")*(Working_Data!$B:$B=$F41)*(Working_Data!$C:$C=$E41),0),{1,2,3,4,5,6,8,10}))</f>
        <v>1235.1000000000001</v>
      </c>
      <c r="I41" s="116" cm="1">
        <f t="array" ref="I41">INDEX(Working_Data!$X:$X,MATCH(1,(Working_Data!$A:$A="Rural+Urban")*(Working_Data!$B:$B=$F41)*(Working_Data!$C:$C=$E41),0))</f>
        <v>161.69999999999999</v>
      </c>
      <c r="J41" s="119">
        <f t="shared" si="0"/>
        <v>4.9036434070358294E-5</v>
      </c>
      <c r="K41" s="119">
        <f t="shared" si="1"/>
        <v>5.6998615747905117E-3</v>
      </c>
      <c r="L41" s="119">
        <f t="shared" si="2"/>
        <v>2.4798512089273233E-3</v>
      </c>
      <c r="M41" s="119">
        <f t="shared" si="6"/>
        <v>7.5973409306742512E-2</v>
      </c>
      <c r="N41" s="119">
        <f t="shared" si="6"/>
        <v>4.7849325528124279E-2</v>
      </c>
      <c r="O41" s="120">
        <f t="shared" si="6"/>
        <v>6.1720288903479817E-2</v>
      </c>
    </row>
    <row r="42" spans="4:15" x14ac:dyDescent="0.3">
      <c r="D42" s="115" t="s">
        <v>131</v>
      </c>
      <c r="E42" s="116" t="s">
        <v>37</v>
      </c>
      <c r="F42" s="117">
        <v>2021</v>
      </c>
      <c r="G42" s="116" cm="1">
        <f t="array" ref="G42">SUM(INDEX(Working_Data!$D:$P,MATCH(1,(Working_Data!$A:$A="Rural+Urban")*(Working_Data!$B:$B=$F42)*(Working_Data!$C:$C=$E42),0),0))</f>
        <v>2064.1</v>
      </c>
      <c r="H42" s="117" cm="1">
        <f t="array" ref="H42">SUM(INDEX(Working_Data!$R:$AA,MATCH(1,(Working_Data!$A:$A="Rural+Urban")*(Working_Data!$B:$B=$F42)*(Working_Data!$C:$C=$E42),0),{1,2,3,4,5,6,8,10}))</f>
        <v>1240.3</v>
      </c>
      <c r="I42" s="116" cm="1">
        <f t="array" ref="I42">INDEX(Working_Data!$X:$X,MATCH(1,(Working_Data!$A:$A="Rural+Urban")*(Working_Data!$B:$B=$F42)*(Working_Data!$C:$C=$E42),0))</f>
        <v>162.30000000000001</v>
      </c>
      <c r="J42" s="119">
        <f t="shared" si="0"/>
        <v>1.2111405315288834E-2</v>
      </c>
      <c r="K42" s="119">
        <f t="shared" si="1"/>
        <v>4.2101854100881041E-3</v>
      </c>
      <c r="L42" s="119">
        <f t="shared" si="2"/>
        <v>3.7105751391467087E-3</v>
      </c>
      <c r="M42" s="119">
        <f t="shared" si="6"/>
        <v>5.3865005616256387E-2</v>
      </c>
      <c r="N42" s="119">
        <f t="shared" si="6"/>
        <v>-1.6181486475767504E-2</v>
      </c>
      <c r="O42" s="120">
        <f t="shared" si="6"/>
        <v>7.6974120769741361E-2</v>
      </c>
    </row>
    <row r="43" spans="4:15" x14ac:dyDescent="0.3">
      <c r="D43" s="115" t="s">
        <v>132</v>
      </c>
      <c r="E43" s="116" t="s">
        <v>38</v>
      </c>
      <c r="F43" s="117">
        <v>2021</v>
      </c>
      <c r="G43" s="116" cm="1">
        <f t="array" ref="G43">SUM(INDEX(Working_Data!$D:$P,MATCH(1,(Working_Data!$A:$A="Rural+Urban")*(Working_Data!$B:$B=$F43)*(Working_Data!$C:$C=$E43),0),0))</f>
        <v>2105.7000000000003</v>
      </c>
      <c r="H43" s="117" cm="1">
        <f t="array" ref="H43">SUM(INDEX(Working_Data!$R:$AA,MATCH(1,(Working_Data!$A:$A="Rural+Urban")*(Working_Data!$B:$B=$F43)*(Working_Data!$C:$C=$E43),0),{1,2,3,4,5,6,8,10}))</f>
        <v>1260.1000000000001</v>
      </c>
      <c r="I43" s="116" cm="1">
        <f t="array" ref="I43">INDEX(Working_Data!$X:$X,MATCH(1,(Working_Data!$A:$A="Rural+Urban")*(Working_Data!$B:$B=$F43)*(Working_Data!$C:$C=$E43),0))</f>
        <v>165.8</v>
      </c>
      <c r="J43" s="119">
        <f t="shared" si="0"/>
        <v>2.0154062303183163E-2</v>
      </c>
      <c r="K43" s="119">
        <f t="shared" si="1"/>
        <v>1.5963879706522764E-2</v>
      </c>
      <c r="L43" s="119">
        <f t="shared" si="2"/>
        <v>2.1565003080714726E-2</v>
      </c>
      <c r="M43" s="119">
        <f t="shared" si="6"/>
        <v>8.5263194062671951E-2</v>
      </c>
      <c r="N43" s="119">
        <f t="shared" si="6"/>
        <v>0.19732049535995952</v>
      </c>
      <c r="O43" s="120">
        <f t="shared" si="6"/>
        <v>8.7450808919982567E-2</v>
      </c>
    </row>
    <row r="44" spans="4:15" x14ac:dyDescent="0.3">
      <c r="D44" s="115" t="s">
        <v>133</v>
      </c>
      <c r="E44" s="116" t="s">
        <v>39</v>
      </c>
      <c r="F44" s="117">
        <v>2021</v>
      </c>
      <c r="G44" s="116" cm="1">
        <f t="array" ref="G44">SUM(INDEX(Working_Data!$D:$P,MATCH(1,(Working_Data!$A:$A="Rural+Urban")*(Working_Data!$B:$B=$F44)*(Working_Data!$C:$C=$E44),0),0))</f>
        <v>2133.9</v>
      </c>
      <c r="H44" s="117" cm="1">
        <f t="array" ref="H44">SUM(INDEX(Working_Data!$R:$AA,MATCH(1,(Working_Data!$A:$A="Rural+Urban")*(Working_Data!$B:$B=$F44)*(Working_Data!$C:$C=$E44),0),{1,2,3,4,5,6,8,10}))</f>
        <v>1262.2</v>
      </c>
      <c r="I44" s="116" cm="1">
        <f t="array" ref="I44">INDEX(Working_Data!$X:$X,MATCH(1,(Working_Data!$A:$A="Rural+Urban")*(Working_Data!$B:$B=$F44)*(Working_Data!$C:$C=$E44),0))</f>
        <v>166.3</v>
      </c>
      <c r="J44" s="119">
        <f t="shared" si="0"/>
        <v>1.3392221114118733E-2</v>
      </c>
      <c r="K44" s="119">
        <f t="shared" si="1"/>
        <v>1.6665344020315124E-3</v>
      </c>
      <c r="L44" s="119">
        <f t="shared" si="2"/>
        <v>3.0156815440289505E-3</v>
      </c>
      <c r="M44" s="119">
        <f t="shared" ref="M44:O53" si="7">(G44-G32)/G32</f>
        <v>8.4960341671751011E-2</v>
      </c>
      <c r="N44" s="119">
        <f t="shared" si="7"/>
        <v>6.7219074997886194E-2</v>
      </c>
      <c r="O44" s="120">
        <f t="shared" si="7"/>
        <v>7.7072538860103665E-2</v>
      </c>
    </row>
    <row r="45" spans="4:15" x14ac:dyDescent="0.3">
      <c r="D45" s="115" t="s">
        <v>134</v>
      </c>
      <c r="E45" s="116" t="s">
        <v>40</v>
      </c>
      <c r="F45" s="117">
        <v>2021</v>
      </c>
      <c r="G45" s="116" cm="1">
        <f t="array" ref="G45">SUM(INDEX(Working_Data!$D:$P,MATCH(1,(Working_Data!$A:$A="Rural+Urban")*(Working_Data!$B:$B=$F45)*(Working_Data!$C:$C=$E45),0),0))</f>
        <v>2147</v>
      </c>
      <c r="H45" s="117" cm="1">
        <f t="array" ref="H45">SUM(INDEX(Working_Data!$R:$AA,MATCH(1,(Working_Data!$A:$A="Rural+Urban")*(Working_Data!$B:$B=$F45)*(Working_Data!$C:$C=$E45),0),{1,2,3,4,5,6,8,10}))</f>
        <v>1271.5999999999999</v>
      </c>
      <c r="I45" s="116" cm="1">
        <f t="array" ref="I45">INDEX(Working_Data!$X:$X,MATCH(1,(Working_Data!$A:$A="Rural+Urban")*(Working_Data!$B:$B=$F45)*(Working_Data!$C:$C=$E45),0))</f>
        <v>167</v>
      </c>
      <c r="J45" s="119">
        <f t="shared" si="0"/>
        <v>6.1389943296311488E-3</v>
      </c>
      <c r="K45" s="119">
        <f t="shared" si="1"/>
        <v>7.4473142132782943E-3</v>
      </c>
      <c r="L45" s="119">
        <f t="shared" si="2"/>
        <v>4.2092603728201361E-3</v>
      </c>
      <c r="M45" s="119">
        <f t="shared" si="7"/>
        <v>9.1620907057148565E-2</v>
      </c>
      <c r="N45" s="119">
        <f t="shared" si="7"/>
        <v>7.5166990783799667E-2</v>
      </c>
      <c r="O45" s="120">
        <f t="shared" si="7"/>
        <v>8.1606217616580268E-2</v>
      </c>
    </row>
    <row r="46" spans="4:15" x14ac:dyDescent="0.3">
      <c r="D46" s="115" t="s">
        <v>135</v>
      </c>
      <c r="E46" s="116" t="s">
        <v>41</v>
      </c>
      <c r="F46" s="117">
        <v>2021</v>
      </c>
      <c r="G46" s="116" cm="1">
        <f t="array" ref="G46">SUM(INDEX(Working_Data!$D:$P,MATCH(1,(Working_Data!$A:$A="Rural+Urban")*(Working_Data!$B:$B=$F46)*(Working_Data!$C:$C=$E46),0),0))</f>
        <v>2142</v>
      </c>
      <c r="H46" s="117" cm="1">
        <f t="array" ref="H46">SUM(INDEX(Working_Data!$R:$AA,MATCH(1,(Working_Data!$A:$A="Rural+Urban")*(Working_Data!$B:$B=$F46)*(Working_Data!$C:$C=$E46),0),{1,2,3,4,5,6,8,10}))</f>
        <v>1283</v>
      </c>
      <c r="I46" s="116" cm="1">
        <f t="array" ref="I46">INDEX(Working_Data!$X:$X,MATCH(1,(Working_Data!$A:$A="Rural+Urban")*(Working_Data!$B:$B=$F46)*(Working_Data!$C:$C=$E46),0))</f>
        <v>168.4</v>
      </c>
      <c r="J46" s="119">
        <f t="shared" si="0"/>
        <v>-2.328830926874709E-3</v>
      </c>
      <c r="K46" s="119">
        <f t="shared" si="1"/>
        <v>8.9650833595470991E-3</v>
      </c>
      <c r="L46" s="119">
        <f t="shared" si="2"/>
        <v>8.3832335329341659E-3</v>
      </c>
      <c r="M46" s="119">
        <f t="shared" si="7"/>
        <v>7.3576583801122794E-2</v>
      </c>
      <c r="N46" s="119">
        <f t="shared" si="7"/>
        <v>7.6251992282526715E-2</v>
      </c>
      <c r="O46" s="120">
        <f t="shared" si="7"/>
        <v>8.6451612903225838E-2</v>
      </c>
    </row>
    <row r="47" spans="4:15" x14ac:dyDescent="0.3">
      <c r="D47" s="115" t="s">
        <v>136</v>
      </c>
      <c r="E47" s="116" t="s">
        <v>42</v>
      </c>
      <c r="F47" s="117">
        <v>2021</v>
      </c>
      <c r="G47" s="116" cm="1">
        <f t="array" ref="G47">SUM(INDEX(Working_Data!$D:$P,MATCH(1,(Working_Data!$A:$A="Rural+Urban")*(Working_Data!$B:$B=$F47)*(Working_Data!$C:$C=$E47),0),0))</f>
        <v>2142</v>
      </c>
      <c r="H47" s="117" cm="1">
        <f t="array" ref="H47">SUM(INDEX(Working_Data!$R:$AA,MATCH(1,(Working_Data!$A:$A="Rural+Urban")*(Working_Data!$B:$B=$F47)*(Working_Data!$C:$C=$E47),0),{1,2,3,4,5,6,8,10}))</f>
        <v>1283.1000000000001</v>
      </c>
      <c r="I47" s="116" cm="1">
        <f t="array" ref="I47">INDEX(Working_Data!$X:$X,MATCH(1,(Working_Data!$A:$A="Rural+Urban")*(Working_Data!$B:$B=$F47)*(Working_Data!$C:$C=$E47),0))</f>
        <v>168.4</v>
      </c>
      <c r="J47" s="119">
        <f t="shared" si="0"/>
        <v>0</v>
      </c>
      <c r="K47" s="119">
        <f t="shared" si="1"/>
        <v>7.7942322681322235E-5</v>
      </c>
      <c r="L47" s="119">
        <f t="shared" si="2"/>
        <v>0</v>
      </c>
      <c r="M47" s="119">
        <f t="shared" si="7"/>
        <v>6.726457399103139E-2</v>
      </c>
      <c r="N47" s="119">
        <f t="shared" si="7"/>
        <v>7.3993471164309307E-2</v>
      </c>
      <c r="O47" s="120">
        <f t="shared" si="7"/>
        <v>8.2262210796915244E-2</v>
      </c>
    </row>
    <row r="48" spans="4:15" x14ac:dyDescent="0.3">
      <c r="D48" s="115" t="s">
        <v>137</v>
      </c>
      <c r="E48" s="116" t="s">
        <v>43</v>
      </c>
      <c r="F48" s="117">
        <v>2021</v>
      </c>
      <c r="G48" s="116" cm="1">
        <f t="array" ref="G48">SUM(INDEX(Working_Data!$D:$P,MATCH(1,(Working_Data!$A:$A="Rural+Urban")*(Working_Data!$B:$B=$F48)*(Working_Data!$C:$C=$E48),0),0))</f>
        <v>2175.5</v>
      </c>
      <c r="H48" s="117" cm="1">
        <f t="array" ref="H48">SUM(INDEX(Working_Data!$R:$AA,MATCH(1,(Working_Data!$A:$A="Rural+Urban")*(Working_Data!$B:$B=$F48)*(Working_Data!$C:$C=$E48),0),{1,2,3,4,5,6,8,10}))</f>
        <v>1292.0999999999999</v>
      </c>
      <c r="I48" s="116" cm="1">
        <f t="array" ref="I48">INDEX(Working_Data!$X:$X,MATCH(1,(Working_Data!$A:$A="Rural+Urban")*(Working_Data!$B:$B=$F48)*(Working_Data!$C:$C=$E48),0))</f>
        <v>169.1</v>
      </c>
      <c r="J48" s="119">
        <f t="shared" si="0"/>
        <v>1.5639589169000934E-2</v>
      </c>
      <c r="K48" s="119">
        <f t="shared" si="1"/>
        <v>7.0142623334110915E-3</v>
      </c>
      <c r="L48" s="119">
        <f t="shared" si="2"/>
        <v>4.1567695961994573E-3</v>
      </c>
      <c r="M48" s="119">
        <f t="shared" si="7"/>
        <v>6.1944742751146933E-2</v>
      </c>
      <c r="N48" s="119">
        <f t="shared" si="7"/>
        <v>7.8547579298831521E-2</v>
      </c>
      <c r="O48" s="120">
        <f t="shared" si="7"/>
        <v>8.189379398592439E-2</v>
      </c>
    </row>
    <row r="49" spans="4:16" x14ac:dyDescent="0.3">
      <c r="D49" s="115" t="s">
        <v>138</v>
      </c>
      <c r="E49" s="116" t="s">
        <v>44</v>
      </c>
      <c r="F49" s="117">
        <v>2021</v>
      </c>
      <c r="G49" s="116" cm="1">
        <f t="array" ref="G49">SUM(INDEX(Working_Data!$D:$P,MATCH(1,(Working_Data!$A:$A="Rural+Urban")*(Working_Data!$B:$B=$F49)*(Working_Data!$C:$C=$E49),0),0))</f>
        <v>2194.1</v>
      </c>
      <c r="H49" s="117" cm="1">
        <f t="array" ref="H49">SUM(INDEX(Working_Data!$R:$AA,MATCH(1,(Working_Data!$A:$A="Rural+Urban")*(Working_Data!$B:$B=$F49)*(Working_Data!$C:$C=$E49),0),{1,2,3,4,5,6,8,10}))</f>
        <v>1296.8999999999999</v>
      </c>
      <c r="I49" s="116" cm="1">
        <f t="array" ref="I49">INDEX(Working_Data!$X:$X,MATCH(1,(Working_Data!$A:$A="Rural+Urban")*(Working_Data!$B:$B=$F49)*(Working_Data!$C:$C=$E49),0))</f>
        <v>169.9</v>
      </c>
      <c r="J49" s="119">
        <f t="shared" si="0"/>
        <v>8.5497586761663566E-3</v>
      </c>
      <c r="K49" s="119">
        <f t="shared" si="1"/>
        <v>3.7148827490131992E-3</v>
      </c>
      <c r="L49" s="119">
        <f t="shared" si="2"/>
        <v>4.730928444707341E-3</v>
      </c>
      <c r="M49" s="119">
        <f t="shared" si="7"/>
        <v>4.7003244894063753E-2</v>
      </c>
      <c r="N49" s="119">
        <f t="shared" si="7"/>
        <v>7.9131303045431783E-2</v>
      </c>
      <c r="O49" s="120">
        <f t="shared" si="7"/>
        <v>8.0788804071246931E-2</v>
      </c>
    </row>
    <row r="50" spans="4:16" x14ac:dyDescent="0.3">
      <c r="D50" s="115" t="s">
        <v>139</v>
      </c>
      <c r="E50" s="116" t="s">
        <v>45</v>
      </c>
      <c r="F50" s="117">
        <v>2021</v>
      </c>
      <c r="G50" s="116" cm="1">
        <f t="array" ref="G50">SUM(INDEX(Working_Data!$D:$P,MATCH(1,(Working_Data!$A:$A="Rural+Urban")*(Working_Data!$B:$B=$F50)*(Working_Data!$C:$C=$E50),0),0))</f>
        <v>2180.9</v>
      </c>
      <c r="H50" s="117" cm="1">
        <f t="array" ref="H50">SUM(INDEX(Working_Data!$R:$AA,MATCH(1,(Working_Data!$A:$A="Rural+Urban")*(Working_Data!$B:$B=$F50)*(Working_Data!$C:$C=$E50),0),{1,2,3,4,5,6,8,10}))</f>
        <v>1302.0000000000002</v>
      </c>
      <c r="I50" s="116" cm="1">
        <f t="array" ref="I50">INDEX(Working_Data!$X:$X,MATCH(1,(Working_Data!$A:$A="Rural+Urban")*(Working_Data!$B:$B=$F50)*(Working_Data!$C:$C=$E50),0))</f>
        <v>170.6</v>
      </c>
      <c r="J50" s="119">
        <f t="shared" si="0"/>
        <v>-6.0161341780227973E-3</v>
      </c>
      <c r="K50" s="119">
        <f t="shared" si="1"/>
        <v>3.9324543141339846E-3</v>
      </c>
      <c r="L50" s="119">
        <f t="shared" si="2"/>
        <v>4.1200706297821578E-3</v>
      </c>
      <c r="M50" s="119">
        <f t="shared" si="7"/>
        <v>3.4042956711393575E-2</v>
      </c>
      <c r="N50" s="119">
        <f t="shared" si="7"/>
        <v>7.8886310904872414E-2</v>
      </c>
      <c r="O50" s="120">
        <f t="shared" si="7"/>
        <v>7.7700568540745307E-2</v>
      </c>
    </row>
    <row r="51" spans="4:16" x14ac:dyDescent="0.3">
      <c r="D51" s="115" t="s">
        <v>140</v>
      </c>
      <c r="E51" s="116" t="s">
        <v>31</v>
      </c>
      <c r="F51" s="117">
        <v>2022</v>
      </c>
      <c r="G51" s="116" cm="1">
        <f t="array" ref="G51">SUM(INDEX(Working_Data!$D:$P,MATCH(1,(Working_Data!$A:$A="Rural+Urban")*(Working_Data!$B:$B=$F51)*(Working_Data!$C:$C=$E51),0),0))</f>
        <v>2164.1999999999998</v>
      </c>
      <c r="H51" s="117" cm="1">
        <f t="array" ref="H51">SUM(INDEX(Working_Data!$R:$AA,MATCH(1,(Working_Data!$A:$A="Rural+Urban")*(Working_Data!$B:$B=$F51)*(Working_Data!$C:$C=$E51),0),{1,2,3,4,5,6,8,10}))</f>
        <v>1310.1000000000001</v>
      </c>
      <c r="I51" s="116" cm="1">
        <f t="array" ref="I51">INDEX(Working_Data!$X:$X,MATCH(1,(Working_Data!$A:$A="Rural+Urban")*(Working_Data!$B:$B=$F51)*(Working_Data!$C:$C=$E51),0))</f>
        <v>171.4</v>
      </c>
      <c r="J51" s="119">
        <f t="shared" si="0"/>
        <v>-7.6573891512679501E-3</v>
      </c>
      <c r="K51" s="119">
        <f t="shared" si="1"/>
        <v>6.2211981566819563E-3</v>
      </c>
      <c r="L51" s="119">
        <f t="shared" si="2"/>
        <v>4.6893317702228097E-3</v>
      </c>
      <c r="M51" s="119">
        <f t="shared" si="7"/>
        <v>4.2234529255959462E-2</v>
      </c>
      <c r="N51" s="119">
        <f t="shared" si="7"/>
        <v>8.0494845360824852E-2</v>
      </c>
      <c r="O51" s="120">
        <f t="shared" si="7"/>
        <v>7.5957313245448799E-2</v>
      </c>
    </row>
    <row r="52" spans="4:16" x14ac:dyDescent="0.3">
      <c r="D52" s="115" t="s">
        <v>141</v>
      </c>
      <c r="E52" s="116" t="s">
        <v>35</v>
      </c>
      <c r="F52" s="117">
        <v>2022</v>
      </c>
      <c r="G52" s="116" cm="1">
        <f t="array" ref="G52">SUM(INDEX(Working_Data!$D:$P,MATCH(1,(Working_Data!$A:$A="Rural+Urban")*(Working_Data!$B:$B=$F52)*(Working_Data!$C:$C=$E52),0),0))</f>
        <v>2161.2000000000003</v>
      </c>
      <c r="H52" s="117" cm="1">
        <f t="array" ref="H52">SUM(INDEX(Working_Data!$R:$AA,MATCH(1,(Working_Data!$A:$A="Rural+Urban")*(Working_Data!$B:$B=$F52)*(Working_Data!$C:$C=$E52),0),{1,2,3,4,5,6,8,10}))</f>
        <v>1318.1000000000001</v>
      </c>
      <c r="I52" s="116" cm="1">
        <f t="array" ref="I52">INDEX(Working_Data!$X:$X,MATCH(1,(Working_Data!$A:$A="Rural+Urban")*(Working_Data!$B:$B=$F52)*(Working_Data!$C:$C=$E52),0))</f>
        <v>172.2</v>
      </c>
      <c r="J52" s="119">
        <f t="shared" si="0"/>
        <v>-1.386193512614151E-3</v>
      </c>
      <c r="K52" s="119">
        <f t="shared" si="1"/>
        <v>6.1064040912907408E-3</v>
      </c>
      <c r="L52" s="119">
        <f t="shared" si="2"/>
        <v>4.6674445740955833E-3</v>
      </c>
      <c r="M52" s="119">
        <f t="shared" si="7"/>
        <v>5.9775413131957084E-2</v>
      </c>
      <c r="N52" s="119">
        <f t="shared" si="7"/>
        <v>7.328393453301868E-2</v>
      </c>
      <c r="O52" s="120">
        <f t="shared" si="7"/>
        <v>6.7575945443273264E-2</v>
      </c>
    </row>
    <row r="53" spans="4:16" ht="15" thickBot="1" x14ac:dyDescent="0.35">
      <c r="D53" s="121" t="s">
        <v>142</v>
      </c>
      <c r="E53" s="122" t="s">
        <v>36</v>
      </c>
      <c r="F53" s="123">
        <v>2022</v>
      </c>
      <c r="G53" s="122" cm="1">
        <f t="array" ref="G53">SUM(INDEX(Working_Data!$D:$P,MATCH(1,(Working_Data!$A:$A="Rural+Urban")*(Working_Data!$B:$B=$F53)*(Working_Data!$C:$C=$E53),0),0))</f>
        <v>2184.2000000000003</v>
      </c>
      <c r="H53" s="123" cm="1">
        <f t="array" ref="H53">SUM(INDEX(Working_Data!$R:$AA,MATCH(1,(Working_Data!$A:$A="Rural+Urban")*(Working_Data!$B:$B=$F53)*(Working_Data!$C:$C=$E53),0),{1,2,3,4,5,6,8,10}))</f>
        <v>1327</v>
      </c>
      <c r="I53" s="122" cm="1">
        <f t="array" ref="I53">INDEX(Working_Data!$X:$X,MATCH(1,(Working_Data!$A:$A="Rural+Urban")*(Working_Data!$B:$B=$F53)*(Working_Data!$C:$C=$E53),0))</f>
        <v>173</v>
      </c>
      <c r="J53" s="124">
        <f t="shared" si="0"/>
        <v>1.0642235794928743E-2</v>
      </c>
      <c r="K53" s="124">
        <f t="shared" si="1"/>
        <v>6.7521432364766425E-3</v>
      </c>
      <c r="L53" s="124">
        <f t="shared" si="2"/>
        <v>4.6457607433217848E-3</v>
      </c>
      <c r="M53" s="124">
        <f t="shared" si="7"/>
        <v>7.1001274884770232E-2</v>
      </c>
      <c r="N53" s="124">
        <f t="shared" si="7"/>
        <v>7.4406930612905722E-2</v>
      </c>
      <c r="O53" s="125">
        <f t="shared" si="7"/>
        <v>6.9882498453927105E-2</v>
      </c>
    </row>
    <row r="54" spans="4:16" x14ac:dyDescent="0.3">
      <c r="F54" s="96"/>
    </row>
    <row r="55" spans="4:16" ht="15" thickBot="1" x14ac:dyDescent="0.35">
      <c r="F55" s="96"/>
    </row>
    <row r="56" spans="4:16" ht="14.4" customHeight="1" x14ac:dyDescent="0.3">
      <c r="D56" s="46"/>
      <c r="E56" s="97"/>
      <c r="F56" s="97"/>
      <c r="G56" s="97"/>
      <c r="H56" s="97"/>
      <c r="I56" s="97"/>
      <c r="J56" s="257" t="s">
        <v>149</v>
      </c>
      <c r="K56" s="257"/>
      <c r="L56" s="257"/>
      <c r="M56" s="257"/>
      <c r="N56" s="257"/>
      <c r="O56" s="257"/>
      <c r="P56" s="257"/>
    </row>
    <row r="57" spans="4:16" x14ac:dyDescent="0.3">
      <c r="D57" s="95"/>
      <c r="J57" s="260"/>
      <c r="K57" s="260"/>
      <c r="L57" s="260"/>
      <c r="M57" s="260"/>
      <c r="N57" s="260"/>
      <c r="O57" s="260"/>
      <c r="P57" s="260"/>
    </row>
    <row r="58" spans="4:16" x14ac:dyDescent="0.3">
      <c r="D58" s="95"/>
      <c r="J58" s="260"/>
      <c r="K58" s="260"/>
      <c r="L58" s="260"/>
      <c r="M58" s="260"/>
      <c r="N58" s="260"/>
      <c r="O58" s="260"/>
      <c r="P58" s="260"/>
    </row>
    <row r="59" spans="4:16" x14ac:dyDescent="0.3">
      <c r="D59" s="95"/>
      <c r="J59" s="260"/>
      <c r="K59" s="260"/>
      <c r="L59" s="260"/>
      <c r="M59" s="260"/>
      <c r="N59" s="260"/>
      <c r="O59" s="260"/>
      <c r="P59" s="260"/>
    </row>
    <row r="60" spans="4:16" x14ac:dyDescent="0.3">
      <c r="J60" s="260"/>
      <c r="K60" s="260"/>
      <c r="L60" s="260"/>
      <c r="M60" s="260"/>
      <c r="N60" s="260"/>
      <c r="O60" s="260"/>
      <c r="P60" s="260"/>
    </row>
    <row r="61" spans="4:16" x14ac:dyDescent="0.3">
      <c r="F61" s="96"/>
      <c r="J61" s="260"/>
      <c r="K61" s="260"/>
      <c r="L61" s="260"/>
      <c r="M61" s="260"/>
      <c r="N61" s="260"/>
      <c r="O61" s="260"/>
      <c r="P61" s="260"/>
    </row>
    <row r="62" spans="4:16" x14ac:dyDescent="0.3">
      <c r="F62" s="96"/>
      <c r="J62" s="260"/>
      <c r="K62" s="260"/>
      <c r="L62" s="260"/>
      <c r="M62" s="260"/>
      <c r="N62" s="260"/>
      <c r="O62" s="260"/>
      <c r="P62" s="260"/>
    </row>
    <row r="63" spans="4:16" x14ac:dyDescent="0.3">
      <c r="F63" s="96"/>
      <c r="J63" s="106"/>
      <c r="K63" s="106"/>
      <c r="L63" s="106"/>
    </row>
    <row r="64" spans="4:16" x14ac:dyDescent="0.3">
      <c r="F64" s="96"/>
      <c r="J64" s="106"/>
      <c r="K64" s="106"/>
      <c r="L64" s="106"/>
    </row>
    <row r="65" spans="5:12" x14ac:dyDescent="0.3">
      <c r="F65" s="96"/>
      <c r="J65" s="106"/>
      <c r="K65" s="106"/>
      <c r="L65" s="106"/>
    </row>
    <row r="66" spans="5:12" x14ac:dyDescent="0.3">
      <c r="F66" s="96"/>
      <c r="J66" s="106"/>
      <c r="K66" s="106"/>
      <c r="L66" s="106"/>
    </row>
    <row r="67" spans="5:12" x14ac:dyDescent="0.3">
      <c r="E67" s="208"/>
      <c r="F67" s="209"/>
      <c r="J67" s="106"/>
      <c r="K67" s="106"/>
      <c r="L67" s="106"/>
    </row>
    <row r="68" spans="5:12" x14ac:dyDescent="0.3">
      <c r="E68" s="208"/>
      <c r="F68" s="209"/>
      <c r="J68" s="106"/>
      <c r="K68" s="106"/>
      <c r="L68" s="106"/>
    </row>
    <row r="69" spans="5:12" x14ac:dyDescent="0.3">
      <c r="E69" s="208"/>
      <c r="F69" s="209"/>
      <c r="J69" s="106"/>
      <c r="K69" s="106"/>
      <c r="L69" s="106"/>
    </row>
    <row r="70" spans="5:12" x14ac:dyDescent="0.3">
      <c r="E70" s="208"/>
      <c r="F70" s="209"/>
      <c r="J70" s="106"/>
      <c r="K70" s="106"/>
      <c r="L70" s="106"/>
    </row>
    <row r="71" spans="5:12" x14ac:dyDescent="0.3">
      <c r="E71" s="208"/>
      <c r="F71" s="209"/>
      <c r="J71" s="106"/>
      <c r="K71" s="106"/>
      <c r="L71" s="106"/>
    </row>
    <row r="72" spans="5:12" x14ac:dyDescent="0.3">
      <c r="F72" s="96"/>
      <c r="J72" s="106"/>
      <c r="K72" s="106"/>
      <c r="L72" s="106"/>
    </row>
    <row r="73" spans="5:12" x14ac:dyDescent="0.3">
      <c r="F73" s="96"/>
      <c r="J73" s="106"/>
      <c r="K73" s="106"/>
      <c r="L73" s="106"/>
    </row>
    <row r="74" spans="5:12" x14ac:dyDescent="0.3">
      <c r="F74" s="96"/>
      <c r="J74" s="106"/>
      <c r="K74" s="106"/>
      <c r="L74" s="106"/>
    </row>
    <row r="75" spans="5:12" x14ac:dyDescent="0.3">
      <c r="F75" s="96"/>
      <c r="J75" s="106"/>
      <c r="K75" s="106"/>
      <c r="L75" s="106"/>
    </row>
    <row r="76" spans="5:12" x14ac:dyDescent="0.3">
      <c r="F76" s="96"/>
      <c r="J76" s="106"/>
      <c r="K76" s="106"/>
      <c r="L76" s="106"/>
    </row>
    <row r="77" spans="5:12" x14ac:dyDescent="0.3">
      <c r="F77" s="96"/>
      <c r="J77" s="106"/>
      <c r="K77" s="106"/>
      <c r="L77" s="106"/>
    </row>
    <row r="78" spans="5:12" x14ac:dyDescent="0.3">
      <c r="F78" s="96"/>
      <c r="J78" s="106"/>
      <c r="K78" s="106"/>
      <c r="L78" s="106"/>
    </row>
    <row r="79" spans="5:12" x14ac:dyDescent="0.3">
      <c r="F79" s="96"/>
      <c r="J79" s="106"/>
      <c r="K79" s="106"/>
      <c r="L79" s="106"/>
    </row>
    <row r="80" spans="5:12" x14ac:dyDescent="0.3">
      <c r="F80" s="96"/>
      <c r="J80" s="106"/>
      <c r="K80" s="106"/>
      <c r="L80" s="106"/>
    </row>
    <row r="81" spans="6:12" x14ac:dyDescent="0.3">
      <c r="F81" s="96"/>
      <c r="J81" s="106"/>
      <c r="K81" s="106"/>
      <c r="L81" s="106"/>
    </row>
  </sheetData>
  <mergeCells count="1">
    <mergeCell ref="J56:P6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D41A4-DD26-4F29-BA4A-717F1392058B}">
  <dimension ref="A2:AO48"/>
  <sheetViews>
    <sheetView showGridLines="0" workbookViewId="0">
      <pane ySplit="5" topLeftCell="A6" activePane="bottomLeft" state="frozen"/>
      <selection pane="bottomLeft" activeCell="C11" sqref="C11"/>
    </sheetView>
  </sheetViews>
  <sheetFormatPr defaultRowHeight="14.4" x14ac:dyDescent="0.3"/>
  <cols>
    <col min="1" max="1" width="16.44140625" style="2" customWidth="1"/>
    <col min="2" max="2" width="18.6640625" style="2" customWidth="1"/>
    <col min="3" max="3" width="19.5546875" style="2" customWidth="1"/>
    <col min="4" max="4" width="13.109375" style="160" customWidth="1"/>
  </cols>
  <sheetData>
    <row r="2" spans="1:41" x14ac:dyDescent="0.3">
      <c r="A2" s="46"/>
      <c r="B2" s="46"/>
      <c r="C2" s="97"/>
      <c r="D2" s="159"/>
      <c r="E2" s="145"/>
      <c r="F2" s="145"/>
      <c r="G2" s="97"/>
    </row>
    <row r="3" spans="1:41" x14ac:dyDescent="0.3">
      <c r="A3" s="192" t="s">
        <v>162</v>
      </c>
      <c r="B3" s="193"/>
      <c r="C3" s="194"/>
      <c r="D3" s="195"/>
      <c r="E3" s="196"/>
      <c r="F3" s="196"/>
      <c r="G3" s="196"/>
    </row>
    <row r="4" spans="1:41" ht="37.200000000000003" thickBot="1" x14ac:dyDescent="0.75">
      <c r="A4" s="168" t="s">
        <v>164</v>
      </c>
      <c r="B4" s="169"/>
      <c r="C4" s="169"/>
      <c r="D4" s="170"/>
      <c r="E4" s="169"/>
      <c r="F4" s="169"/>
      <c r="G4" s="169"/>
      <c r="H4" s="168"/>
      <c r="I4" s="169"/>
      <c r="J4" s="169"/>
      <c r="K4" s="168"/>
      <c r="L4" s="168"/>
      <c r="M4" s="107"/>
      <c r="N4" s="107"/>
      <c r="O4" s="107"/>
      <c r="P4" s="107"/>
    </row>
    <row r="5" spans="1:41" s="175" customFormat="1" ht="15" thickBot="1" x14ac:dyDescent="0.35">
      <c r="A5" s="171" t="s">
        <v>159</v>
      </c>
      <c r="B5" s="172" t="s">
        <v>161</v>
      </c>
      <c r="C5" s="172" t="s">
        <v>85</v>
      </c>
      <c r="D5" s="173" t="s">
        <v>160</v>
      </c>
      <c r="E5" s="174">
        <v>44166</v>
      </c>
      <c r="F5" s="174">
        <v>44197</v>
      </c>
      <c r="G5" s="174">
        <v>44228</v>
      </c>
      <c r="H5" s="174">
        <v>44256</v>
      </c>
      <c r="I5" s="174">
        <v>44287</v>
      </c>
      <c r="J5" s="174">
        <v>44317</v>
      </c>
      <c r="K5" s="174">
        <v>44348</v>
      </c>
      <c r="L5" s="174">
        <v>44378</v>
      </c>
      <c r="M5" s="174">
        <v>44409</v>
      </c>
      <c r="N5" s="174">
        <v>44440</v>
      </c>
      <c r="O5" s="174">
        <v>44470</v>
      </c>
      <c r="P5" s="174">
        <v>44501</v>
      </c>
      <c r="Q5" s="174">
        <v>44531</v>
      </c>
      <c r="R5" s="174">
        <v>44562</v>
      </c>
      <c r="S5" s="174">
        <v>44593</v>
      </c>
      <c r="T5" s="174">
        <v>44621</v>
      </c>
      <c r="U5" s="174">
        <v>44652</v>
      </c>
      <c r="V5" s="174">
        <v>44682</v>
      </c>
      <c r="W5" s="174">
        <v>44713</v>
      </c>
      <c r="X5" s="174">
        <v>44743</v>
      </c>
      <c r="Y5" s="174">
        <v>44774</v>
      </c>
      <c r="Z5" s="174">
        <v>44805</v>
      </c>
      <c r="AA5" s="174">
        <v>44835</v>
      </c>
      <c r="AB5" s="174">
        <v>44866</v>
      </c>
      <c r="AC5" s="174">
        <v>44896</v>
      </c>
      <c r="AD5" s="174">
        <v>44927</v>
      </c>
      <c r="AE5" s="174">
        <v>44958</v>
      </c>
      <c r="AF5" s="174">
        <v>44986</v>
      </c>
      <c r="AG5" s="174">
        <v>45017</v>
      </c>
      <c r="AH5" s="174">
        <v>45047</v>
      </c>
      <c r="AI5" s="174">
        <v>45078</v>
      </c>
      <c r="AJ5" s="174">
        <v>45108</v>
      </c>
      <c r="AK5" s="174">
        <v>45139</v>
      </c>
      <c r="AL5" s="174">
        <v>45170</v>
      </c>
      <c r="AM5" s="174">
        <v>45200</v>
      </c>
      <c r="AN5" s="174">
        <v>45231</v>
      </c>
      <c r="AO5" s="174">
        <v>45261</v>
      </c>
    </row>
    <row r="6" spans="1:41" s="181" customFormat="1" x14ac:dyDescent="0.3">
      <c r="A6" s="176" t="s">
        <v>34</v>
      </c>
      <c r="B6" s="177" t="s">
        <v>3</v>
      </c>
      <c r="C6" s="177" t="str">
        <f>_xlfn.XLOOKUP(B6,CPI_Category_Mapping[Category],CPI_Category_Mapping[New Food Category])</f>
        <v>Food</v>
      </c>
      <c r="D6" s="178">
        <f>CORREL(F6:AH6,'Crude Oil Price'!$B$5:$B$33)</f>
        <v>0.25708758135604781</v>
      </c>
      <c r="E6" s="179" cm="1">
        <f t="array" ref="E6">INDEX(Working_Data!$D$2:$AD$2000,MATCH(1,(Working_Data!$A$2:$A$2000=$A6)*(Working_Data!$B$2:$B$2000=YEAR(E$5))*(Working_Data!$C$2:$C$2000=TEXT(E$5,"mmmm")),0),MATCH($B6,Working_Data!$D$1:$AD$1,0))</f>
        <v>146</v>
      </c>
      <c r="F6" s="179" cm="1">
        <f t="array" ref="F6">INDEX(Working_Data!$D$2:$AD$2000,MATCH(1,(Working_Data!$A$2:$A$2000=$A6)*(Working_Data!$B$2:$B$2000=YEAR(F$5))*(Working_Data!$C$2:$C$2000=TEXT(F$5,"mmmm")),0),MATCH($B6,Working_Data!$D$1:$AD$1,0))</f>
        <v>144.9</v>
      </c>
      <c r="G6" s="179" cm="1">
        <f t="array" ref="G6">INDEX(Working_Data!$D$2:$AD$2000,MATCH(1,(Working_Data!$A$2:$A$2000=$A6)*(Working_Data!$B$2:$B$2000=YEAR(G$5))*(Working_Data!$C$2:$C$2000=TEXT(G$5,"mmmm")),0),MATCH($B6,Working_Data!$D$1:$AD$1,0))</f>
        <v>144.30000000000001</v>
      </c>
      <c r="H6" s="179" cm="1">
        <f t="array" ref="H6">INDEX(Working_Data!$D$2:$AD$2000,MATCH(1,(Working_Data!$A$2:$A$2000=$A6)*(Working_Data!$B$2:$B$2000=YEAR(H$5))*(Working_Data!$C$2:$C$2000=TEXT(H$5,"mmmm")),0),MATCH($B6,Working_Data!$D$1:$AD$1,0))</f>
        <v>144.1</v>
      </c>
      <c r="I6" s="179" cm="1">
        <f t="array" ref="I6">INDEX(Working_Data!$D$2:$AD$2000,MATCH(1,(Working_Data!$A$2:$A$2000=$A6)*(Working_Data!$B$2:$B$2000=YEAR(I$5))*(Working_Data!$C$2:$C$2000=TEXT(I$5,"mmmm")),0),MATCH($B6,Working_Data!$D$1:$AD$1,0))</f>
        <v>144.30000000000001</v>
      </c>
      <c r="J6" s="179" cm="1">
        <f t="array" ref="J6">INDEX(Working_Data!$D$2:$AD$2000,MATCH(1,(Working_Data!$A$2:$A$2000=$A6)*(Working_Data!$B$2:$B$2000=YEAR(J$5))*(Working_Data!$C$2:$C$2000=TEXT(J$5,"mmmm")),0),MATCH($B6,Working_Data!$D$1:$AD$1,0))</f>
        <v>146.30000000000001</v>
      </c>
      <c r="K6" s="179" cm="1">
        <f t="array" ref="K6">INDEX(Working_Data!$D$2:$AD$2000,MATCH(1,(Working_Data!$A$2:$A$2000=$A6)*(Working_Data!$B$2:$B$2000=YEAR(K$5))*(Working_Data!$C$2:$C$2000=TEXT(K$5,"mmmm")),0),MATCH($B6,Working_Data!$D$1:$AD$1,0))</f>
        <v>146.69999999999999</v>
      </c>
      <c r="L6" s="179" cm="1">
        <f t="array" ref="L6">INDEX(Working_Data!$D$2:$AD$2000,MATCH(1,(Working_Data!$A$2:$A$2000=$A6)*(Working_Data!$B$2:$B$2000=YEAR(L$5))*(Working_Data!$C$2:$C$2000=TEXT(L$5,"mmmm")),0),MATCH($B6,Working_Data!$D$1:$AD$1,0))</f>
        <v>146.4</v>
      </c>
      <c r="M6" s="179" cm="1">
        <f t="array" ref="M6">INDEX(Working_Data!$D$2:$AD$2000,MATCH(1,(Working_Data!$A$2:$A$2000=$A6)*(Working_Data!$B$2:$B$2000=YEAR(M$5))*(Working_Data!$C$2:$C$2000=TEXT(M$5,"mmmm")),0),MATCH($B6,Working_Data!$D$1:$AD$1,0))</f>
        <v>146.6</v>
      </c>
      <c r="N6" s="179" cm="1">
        <f t="array" ref="N6">INDEX(Working_Data!$D$2:$AD$2000,MATCH(1,(Working_Data!$A$2:$A$2000=$A6)*(Working_Data!$B$2:$B$2000=YEAR(N$5))*(Working_Data!$C$2:$C$2000=TEXT(N$5,"mmmm")),0),MATCH($B6,Working_Data!$D$1:$AD$1,0))</f>
        <v>146.6</v>
      </c>
      <c r="O6" s="179" cm="1">
        <f t="array" ref="O6">INDEX(Working_Data!$D$2:$AD$2000,MATCH(1,(Working_Data!$A$2:$A$2000=$A6)*(Working_Data!$B$2:$B$2000=YEAR(O$5))*(Working_Data!$C$2:$C$2000=TEXT(O$5,"mmmm")),0),MATCH($B6,Working_Data!$D$1:$AD$1,0))</f>
        <v>147.4</v>
      </c>
      <c r="P6" s="179" cm="1">
        <f t="array" ref="P6">INDEX(Working_Data!$D$2:$AD$2000,MATCH(1,(Working_Data!$A$2:$A$2000=$A6)*(Working_Data!$B$2:$B$2000=YEAR(P$5))*(Working_Data!$C$2:$C$2000=TEXT(P$5,"mmmm")),0),MATCH($B6,Working_Data!$D$1:$AD$1,0))</f>
        <v>148.19999999999999</v>
      </c>
      <c r="Q6" s="179" cm="1">
        <f t="array" ref="Q6">INDEX(Working_Data!$D$2:$AD$2000,MATCH(1,(Working_Data!$A$2:$A$2000=$A6)*(Working_Data!$B$2:$B$2000=YEAR(Q$5))*(Working_Data!$C$2:$C$2000=TEXT(Q$5,"mmmm")),0),MATCH($B6,Working_Data!$D$1:$AD$1,0))</f>
        <v>148.69999999999999</v>
      </c>
      <c r="R6" s="179" cm="1">
        <f t="array" ref="R6">INDEX(Working_Data!$D$2:$AD$2000,MATCH(1,(Working_Data!$A$2:$A$2000=$A6)*(Working_Data!$B$2:$B$2000=YEAR(R$5))*(Working_Data!$C$2:$C$2000=TEXT(R$5,"mmmm")),0),MATCH($B6,Working_Data!$D$1:$AD$1,0))</f>
        <v>149.5</v>
      </c>
      <c r="S6" s="179" cm="1">
        <f t="array" ref="S6">INDEX(Working_Data!$D$2:$AD$2000,MATCH(1,(Working_Data!$A$2:$A$2000=$A6)*(Working_Data!$B$2:$B$2000=YEAR(S$5))*(Working_Data!$C$2:$C$2000=TEXT(S$5,"mmmm")),0),MATCH($B6,Working_Data!$D$1:$AD$1,0))</f>
        <v>150</v>
      </c>
      <c r="T6" s="179" cm="1">
        <f t="array" ref="T6">INDEX(Working_Data!$D$2:$AD$2000,MATCH(1,(Working_Data!$A$2:$A$2000=$A6)*(Working_Data!$B$2:$B$2000=YEAR(T$5))*(Working_Data!$C$2:$C$2000=TEXT(T$5,"mmmm")),0),MATCH($B6,Working_Data!$D$1:$AD$1,0))</f>
        <v>151.30000000000001</v>
      </c>
      <c r="U6" s="179" cm="1">
        <f t="array" ref="U6">INDEX(Working_Data!$D$2:$AD$2000,MATCH(1,(Working_Data!$A$2:$A$2000=$A6)*(Working_Data!$B$2:$B$2000=YEAR(U$5))*(Working_Data!$C$2:$C$2000=TEXT(U$5,"mmmm")),0),MATCH($B6,Working_Data!$D$1:$AD$1,0))</f>
        <v>152.9</v>
      </c>
      <c r="V6" s="179" cm="1">
        <f t="array" ref="V6">INDEX(Working_Data!$D$2:$AD$2000,MATCH(1,(Working_Data!$A$2:$A$2000=$A6)*(Working_Data!$B$2:$B$2000=YEAR(V$5))*(Working_Data!$C$2:$C$2000=TEXT(V$5,"mmmm")),0),MATCH($B6,Working_Data!$D$1:$AD$1,0))</f>
        <v>154.1</v>
      </c>
      <c r="W6" s="179" cm="1">
        <f t="array" ref="W6">INDEX(Working_Data!$D$2:$AD$2000,MATCH(1,(Working_Data!$A$2:$A$2000=$A6)*(Working_Data!$B$2:$B$2000=YEAR(W$5))*(Working_Data!$C$2:$C$2000=TEXT(W$5,"mmmm")),0),MATCH($B6,Working_Data!$D$1:$AD$1,0))</f>
        <v>155</v>
      </c>
      <c r="X6" s="179" cm="1">
        <f t="array" ref="X6">INDEX(Working_Data!$D$2:$AD$2000,MATCH(1,(Working_Data!$A$2:$A$2000=$A6)*(Working_Data!$B$2:$B$2000=YEAR(X$5))*(Working_Data!$C$2:$C$2000=TEXT(X$5,"mmmm")),0),MATCH($B6,Working_Data!$D$1:$AD$1,0))</f>
        <v>156.5</v>
      </c>
      <c r="Y6" s="179" cm="1">
        <f t="array" ref="Y6">INDEX(Working_Data!$D$2:$AD$2000,MATCH(1,(Working_Data!$A$2:$A$2000=$A6)*(Working_Data!$B$2:$B$2000=YEAR(Y$5))*(Working_Data!$C$2:$C$2000=TEXT(Y$5,"mmmm")),0),MATCH($B6,Working_Data!$D$1:$AD$1,0))</f>
        <v>160.30000000000001</v>
      </c>
      <c r="Z6" s="179" cm="1">
        <f t="array" ref="Z6">INDEX(Working_Data!$D$2:$AD$2000,MATCH(1,(Working_Data!$A$2:$A$2000=$A6)*(Working_Data!$B$2:$B$2000=YEAR(Z$5))*(Working_Data!$C$2:$C$2000=TEXT(Z$5,"mmmm")),0),MATCH($B6,Working_Data!$D$1:$AD$1,0))</f>
        <v>163.5</v>
      </c>
      <c r="AA6" s="179" cm="1">
        <f t="array" ref="AA6">INDEX(Working_Data!$D$2:$AD$2000,MATCH(1,(Working_Data!$A$2:$A$2000=$A6)*(Working_Data!$B$2:$B$2000=YEAR(AA$5))*(Working_Data!$C$2:$C$2000=TEXT(AA$5,"mmmm")),0),MATCH($B6,Working_Data!$D$1:$AD$1,0))</f>
        <v>165.2</v>
      </c>
      <c r="AB6" s="179" cm="1">
        <f t="array" ref="AB6">INDEX(Working_Data!$D$2:$AD$2000,MATCH(1,(Working_Data!$A$2:$A$2000=$A6)*(Working_Data!$B$2:$B$2000=YEAR(AB$5))*(Working_Data!$C$2:$C$2000=TEXT(AB$5,"mmmm")),0),MATCH($B6,Working_Data!$D$1:$AD$1,0))</f>
        <v>167.4</v>
      </c>
      <c r="AC6" s="179" cm="1">
        <f t="array" ref="AC6">INDEX(Working_Data!$D$2:$AD$2000,MATCH(1,(Working_Data!$A$2:$A$2000=$A6)*(Working_Data!$B$2:$B$2000=YEAR(AC$5))*(Working_Data!$C$2:$C$2000=TEXT(AC$5,"mmmm")),0),MATCH($B6,Working_Data!$D$1:$AD$1,0))</f>
        <v>169.2</v>
      </c>
      <c r="AD6" s="179" cm="1">
        <f t="array" ref="AD6">INDEX(Working_Data!$D$2:$AD$2000,MATCH(1,(Working_Data!$A$2:$A$2000=$A6)*(Working_Data!$B$2:$B$2000=YEAR(AD$5))*(Working_Data!$C$2:$C$2000=TEXT(AD$5,"mmmm")),0),MATCH($B6,Working_Data!$D$1:$AD$1,0))</f>
        <v>173.8</v>
      </c>
      <c r="AE6" s="179" cm="1">
        <f t="array" ref="AE6">INDEX(Working_Data!$D$2:$AD$2000,MATCH(1,(Working_Data!$A$2:$A$2000=$A6)*(Working_Data!$B$2:$B$2000=YEAR(AE$5))*(Working_Data!$C$2:$C$2000=TEXT(AE$5,"mmmm")),0),MATCH($B6,Working_Data!$D$1:$AD$1,0))</f>
        <v>174.4</v>
      </c>
      <c r="AF6" s="179" cm="1">
        <f t="array" ref="AF6">INDEX(Working_Data!$D$2:$AD$2000,MATCH(1,(Working_Data!$A$2:$A$2000=$A6)*(Working_Data!$B$2:$B$2000=YEAR(AF$5))*(Working_Data!$C$2:$C$2000=TEXT(AF$5,"mmmm")),0),MATCH($B6,Working_Data!$D$1:$AD$1,0))</f>
        <v>174.4</v>
      </c>
      <c r="AG6" s="179" cm="1">
        <f t="array" ref="AG6">INDEX(Working_Data!$D$2:$AD$2000,MATCH(1,(Working_Data!$A$2:$A$2000=$A6)*(Working_Data!$B$2:$B$2000=YEAR(AG$5))*(Working_Data!$C$2:$C$2000=TEXT(AG$5,"mmmm")),0),MATCH($B6,Working_Data!$D$1:$AD$1,0))</f>
        <v>173.8</v>
      </c>
      <c r="AH6" s="179" cm="1">
        <f t="array" ref="AH6">INDEX(Working_Data!$D$2:$AD$2000,MATCH(1,(Working_Data!$A$2:$A$2000=$A6)*(Working_Data!$B$2:$B$2000=YEAR(AH$5))*(Working_Data!$C$2:$C$2000=TEXT(AH$5,"mmmm")),0),MATCH($B6,Working_Data!$D$1:$AD$1,0))</f>
        <v>173.7</v>
      </c>
      <c r="AI6" s="179" t="s">
        <v>47</v>
      </c>
      <c r="AJ6" s="179" t="s">
        <v>47</v>
      </c>
      <c r="AK6" s="179" t="s">
        <v>47</v>
      </c>
      <c r="AL6" s="179" t="s">
        <v>47</v>
      </c>
      <c r="AM6" s="179" t="s">
        <v>47</v>
      </c>
      <c r="AN6" s="179" t="s">
        <v>47</v>
      </c>
      <c r="AO6" s="180" t="s">
        <v>47</v>
      </c>
    </row>
    <row r="7" spans="1:41" s="181" customFormat="1" x14ac:dyDescent="0.3">
      <c r="A7" s="182" t="s">
        <v>34</v>
      </c>
      <c r="B7" s="183" t="s">
        <v>4</v>
      </c>
      <c r="C7" s="183" t="str">
        <f>_xlfn.XLOOKUP(B7,CPI_Category_Mapping[Category],CPI_Category_Mapping[New Food Category])</f>
        <v>Food</v>
      </c>
      <c r="D7" s="184">
        <f>CORREL(F7:AH7,'Crude Oil Price'!$B$5:$B$33)</f>
        <v>0.76396639945181211</v>
      </c>
      <c r="E7" s="185" cm="1">
        <f t="array" ref="E7">INDEX(Working_Data!$D$2:$AD$2000,MATCH(1,(Working_Data!$A$2:$A$2000=$A7)*(Working_Data!$B$2:$B$2000=YEAR(E$5))*(Working_Data!$C$2:$C$2000=TEXT(E$5,"mmmm")),0),MATCH($B7,Working_Data!$D$1:$AD$1,0))</f>
        <v>191</v>
      </c>
      <c r="F7" s="185" cm="1">
        <f t="array" ref="F7">INDEX(Working_Data!$D$2:$AD$2000,MATCH(1,(Working_Data!$A$2:$A$2000=$A7)*(Working_Data!$B$2:$B$2000=YEAR(F$5))*(Working_Data!$C$2:$C$2000=TEXT(F$5,"mmmm")),0),MATCH($B7,Working_Data!$D$1:$AD$1,0))</f>
        <v>190.1</v>
      </c>
      <c r="G7" s="185" cm="1">
        <f t="array" ref="G7">INDEX(Working_Data!$D$2:$AD$2000,MATCH(1,(Working_Data!$A$2:$A$2000=$A7)*(Working_Data!$B$2:$B$2000=YEAR(G$5))*(Working_Data!$C$2:$C$2000=TEXT(G$5,"mmmm")),0),MATCH($B7,Working_Data!$D$1:$AD$1,0))</f>
        <v>186.5</v>
      </c>
      <c r="H7" s="185" cm="1">
        <f t="array" ref="H7">INDEX(Working_Data!$D$2:$AD$2000,MATCH(1,(Working_Data!$A$2:$A$2000=$A7)*(Working_Data!$B$2:$B$2000=YEAR(H$5))*(Working_Data!$C$2:$C$2000=TEXT(H$5,"mmmm")),0),MATCH($B7,Working_Data!$D$1:$AD$1,0))</f>
        <v>192.2</v>
      </c>
      <c r="I7" s="185" cm="1">
        <f t="array" ref="I7">INDEX(Working_Data!$D$2:$AD$2000,MATCH(1,(Working_Data!$A$2:$A$2000=$A7)*(Working_Data!$B$2:$B$2000=YEAR(I$5))*(Working_Data!$C$2:$C$2000=TEXT(I$5,"mmmm")),0),MATCH($B7,Working_Data!$D$1:$AD$1,0))</f>
        <v>198</v>
      </c>
      <c r="J7" s="185" cm="1">
        <f t="array" ref="J7">INDEX(Working_Data!$D$2:$AD$2000,MATCH(1,(Working_Data!$A$2:$A$2000=$A7)*(Working_Data!$B$2:$B$2000=YEAR(J$5))*(Working_Data!$C$2:$C$2000=TEXT(J$5,"mmmm")),0),MATCH($B7,Working_Data!$D$1:$AD$1,0))</f>
        <v>200.5</v>
      </c>
      <c r="K7" s="185" cm="1">
        <f t="array" ref="K7">INDEX(Working_Data!$D$2:$AD$2000,MATCH(1,(Working_Data!$A$2:$A$2000=$A7)*(Working_Data!$B$2:$B$2000=YEAR(K$5))*(Working_Data!$C$2:$C$2000=TEXT(K$5,"mmmm")),0),MATCH($B7,Working_Data!$D$1:$AD$1,0))</f>
        <v>202</v>
      </c>
      <c r="L7" s="185" cm="1">
        <f t="array" ref="L7">INDEX(Working_Data!$D$2:$AD$2000,MATCH(1,(Working_Data!$A$2:$A$2000=$A7)*(Working_Data!$B$2:$B$2000=YEAR(L$5))*(Working_Data!$C$2:$C$2000=TEXT(L$5,"mmmm")),0),MATCH($B7,Working_Data!$D$1:$AD$1,0))</f>
        <v>206.8</v>
      </c>
      <c r="M7" s="185" cm="1">
        <f t="array" ref="M7">INDEX(Working_Data!$D$2:$AD$2000,MATCH(1,(Working_Data!$A$2:$A$2000=$A7)*(Working_Data!$B$2:$B$2000=YEAR(M$5))*(Working_Data!$C$2:$C$2000=TEXT(M$5,"mmmm")),0),MATCH($B7,Working_Data!$D$1:$AD$1,0))</f>
        <v>204</v>
      </c>
      <c r="N7" s="185" cm="1">
        <f t="array" ref="N7">INDEX(Working_Data!$D$2:$AD$2000,MATCH(1,(Working_Data!$A$2:$A$2000=$A7)*(Working_Data!$B$2:$B$2000=YEAR(N$5))*(Working_Data!$C$2:$C$2000=TEXT(N$5,"mmmm")),0),MATCH($B7,Working_Data!$D$1:$AD$1,0))</f>
        <v>204</v>
      </c>
      <c r="O7" s="185" cm="1">
        <f t="array" ref="O7">INDEX(Working_Data!$D$2:$AD$2000,MATCH(1,(Working_Data!$A$2:$A$2000=$A7)*(Working_Data!$B$2:$B$2000=YEAR(O$5))*(Working_Data!$C$2:$C$2000=TEXT(O$5,"mmmm")),0),MATCH($B7,Working_Data!$D$1:$AD$1,0))</f>
        <v>204.6</v>
      </c>
      <c r="P7" s="185" cm="1">
        <f t="array" ref="P7">INDEX(Working_Data!$D$2:$AD$2000,MATCH(1,(Working_Data!$A$2:$A$2000=$A7)*(Working_Data!$B$2:$B$2000=YEAR(P$5))*(Working_Data!$C$2:$C$2000=TEXT(P$5,"mmmm")),0),MATCH($B7,Working_Data!$D$1:$AD$1,0))</f>
        <v>201.6</v>
      </c>
      <c r="Q7" s="185" cm="1">
        <f t="array" ref="Q7">INDEX(Working_Data!$D$2:$AD$2000,MATCH(1,(Working_Data!$A$2:$A$2000=$A7)*(Working_Data!$B$2:$B$2000=YEAR(Q$5))*(Working_Data!$C$2:$C$2000=TEXT(Q$5,"mmmm")),0),MATCH($B7,Working_Data!$D$1:$AD$1,0))</f>
        <v>198.8</v>
      </c>
      <c r="R7" s="185" cm="1">
        <f t="array" ref="R7">INDEX(Working_Data!$D$2:$AD$2000,MATCH(1,(Working_Data!$A$2:$A$2000=$A7)*(Working_Data!$B$2:$B$2000=YEAR(R$5))*(Working_Data!$C$2:$C$2000=TEXT(R$5,"mmmm")),0),MATCH($B7,Working_Data!$D$1:$AD$1,0))</f>
        <v>198.7</v>
      </c>
      <c r="S7" s="185" cm="1">
        <f t="array" ref="S7">INDEX(Working_Data!$D$2:$AD$2000,MATCH(1,(Working_Data!$A$2:$A$2000=$A7)*(Working_Data!$B$2:$B$2000=YEAR(S$5))*(Working_Data!$C$2:$C$2000=TEXT(S$5,"mmmm")),0),MATCH($B7,Working_Data!$D$1:$AD$1,0))</f>
        <v>200.6</v>
      </c>
      <c r="T7" s="185" cm="1">
        <f t="array" ref="T7">INDEX(Working_Data!$D$2:$AD$2000,MATCH(1,(Working_Data!$A$2:$A$2000=$A7)*(Working_Data!$B$2:$B$2000=YEAR(T$5))*(Working_Data!$C$2:$C$2000=TEXT(T$5,"mmmm")),0),MATCH($B7,Working_Data!$D$1:$AD$1,0))</f>
        <v>210.7</v>
      </c>
      <c r="U7" s="185" cm="1">
        <f t="array" ref="U7">INDEX(Working_Data!$D$2:$AD$2000,MATCH(1,(Working_Data!$A$2:$A$2000=$A7)*(Working_Data!$B$2:$B$2000=YEAR(U$5))*(Working_Data!$C$2:$C$2000=TEXT(U$5,"mmmm")),0),MATCH($B7,Working_Data!$D$1:$AD$1,0))</f>
        <v>211.8</v>
      </c>
      <c r="V7" s="185" cm="1">
        <f t="array" ref="V7">INDEX(Working_Data!$D$2:$AD$2000,MATCH(1,(Working_Data!$A$2:$A$2000=$A7)*(Working_Data!$B$2:$B$2000=YEAR(V$5))*(Working_Data!$C$2:$C$2000=TEXT(V$5,"mmmm")),0),MATCH($B7,Working_Data!$D$1:$AD$1,0))</f>
        <v>217</v>
      </c>
      <c r="W7" s="185" cm="1">
        <f t="array" ref="W7">INDEX(Working_Data!$D$2:$AD$2000,MATCH(1,(Working_Data!$A$2:$A$2000=$A7)*(Working_Data!$B$2:$B$2000=YEAR(W$5))*(Working_Data!$C$2:$C$2000=TEXT(W$5,"mmmm")),0),MATCH($B7,Working_Data!$D$1:$AD$1,0))</f>
        <v>219.4</v>
      </c>
      <c r="X7" s="185" cm="1">
        <f t="array" ref="X7">INDEX(Working_Data!$D$2:$AD$2000,MATCH(1,(Working_Data!$A$2:$A$2000=$A7)*(Working_Data!$B$2:$B$2000=YEAR(X$5))*(Working_Data!$C$2:$C$2000=TEXT(X$5,"mmmm")),0),MATCH($B7,Working_Data!$D$1:$AD$1,0))</f>
        <v>213</v>
      </c>
      <c r="Y7" s="185" cm="1">
        <f t="array" ref="Y7">INDEX(Working_Data!$D$2:$AD$2000,MATCH(1,(Working_Data!$A$2:$A$2000=$A7)*(Working_Data!$B$2:$B$2000=YEAR(Y$5))*(Working_Data!$C$2:$C$2000=TEXT(Y$5,"mmmm")),0),MATCH($B7,Working_Data!$D$1:$AD$1,0))</f>
        <v>206.5</v>
      </c>
      <c r="Z7" s="185" cm="1">
        <f t="array" ref="Z7">INDEX(Working_Data!$D$2:$AD$2000,MATCH(1,(Working_Data!$A$2:$A$2000=$A7)*(Working_Data!$B$2:$B$2000=YEAR(Z$5))*(Working_Data!$C$2:$C$2000=TEXT(Z$5,"mmmm")),0),MATCH($B7,Working_Data!$D$1:$AD$1,0))</f>
        <v>209.2</v>
      </c>
      <c r="AA7" s="185" cm="1">
        <f t="array" ref="AA7">INDEX(Working_Data!$D$2:$AD$2000,MATCH(1,(Working_Data!$A$2:$A$2000=$A7)*(Working_Data!$B$2:$B$2000=YEAR(AA$5))*(Working_Data!$C$2:$C$2000=TEXT(AA$5,"mmmm")),0),MATCH($B7,Working_Data!$D$1:$AD$1,0))</f>
        <v>210.9</v>
      </c>
      <c r="AB7" s="185" cm="1">
        <f t="array" ref="AB7">INDEX(Working_Data!$D$2:$AD$2000,MATCH(1,(Working_Data!$A$2:$A$2000=$A7)*(Working_Data!$B$2:$B$2000=YEAR(AB$5))*(Working_Data!$C$2:$C$2000=TEXT(AB$5,"mmmm")),0),MATCH($B7,Working_Data!$D$1:$AD$1,0))</f>
        <v>209.4</v>
      </c>
      <c r="AC7" s="185" cm="1">
        <f t="array" ref="AC7">INDEX(Working_Data!$D$2:$AD$2000,MATCH(1,(Working_Data!$A$2:$A$2000=$A7)*(Working_Data!$B$2:$B$2000=YEAR(AC$5))*(Working_Data!$C$2:$C$2000=TEXT(AC$5,"mmmm")),0),MATCH($B7,Working_Data!$D$1:$AD$1,0))</f>
        <v>209</v>
      </c>
      <c r="AD7" s="185" cm="1">
        <f t="array" ref="AD7">INDEX(Working_Data!$D$2:$AD$2000,MATCH(1,(Working_Data!$A$2:$A$2000=$A7)*(Working_Data!$B$2:$B$2000=YEAR(AD$5))*(Working_Data!$C$2:$C$2000=TEXT(AD$5,"mmmm")),0),MATCH($B7,Working_Data!$D$1:$AD$1,0))</f>
        <v>210.7</v>
      </c>
      <c r="AE7" s="185" cm="1">
        <f t="array" ref="AE7">INDEX(Working_Data!$D$2:$AD$2000,MATCH(1,(Working_Data!$A$2:$A$2000=$A7)*(Working_Data!$B$2:$B$2000=YEAR(AE$5))*(Working_Data!$C$2:$C$2000=TEXT(AE$5,"mmmm")),0),MATCH($B7,Working_Data!$D$1:$AD$1,0))</f>
        <v>207.7</v>
      </c>
      <c r="AF7" s="185" cm="1">
        <f t="array" ref="AF7">INDEX(Working_Data!$D$2:$AD$2000,MATCH(1,(Working_Data!$A$2:$A$2000=$A7)*(Working_Data!$B$2:$B$2000=YEAR(AF$5))*(Working_Data!$C$2:$C$2000=TEXT(AF$5,"mmmm")),0),MATCH($B7,Working_Data!$D$1:$AD$1,0))</f>
        <v>207.7</v>
      </c>
      <c r="AG7" s="185" cm="1">
        <f t="array" ref="AG7">INDEX(Working_Data!$D$2:$AD$2000,MATCH(1,(Working_Data!$A$2:$A$2000=$A7)*(Working_Data!$B$2:$B$2000=YEAR(AG$5))*(Working_Data!$C$2:$C$2000=TEXT(AG$5,"mmmm")),0),MATCH($B7,Working_Data!$D$1:$AD$1,0))</f>
        <v>209.3</v>
      </c>
      <c r="AH7" s="185" cm="1">
        <f t="array" ref="AH7">INDEX(Working_Data!$D$2:$AD$2000,MATCH(1,(Working_Data!$A$2:$A$2000=$A7)*(Working_Data!$B$2:$B$2000=YEAR(AH$5))*(Working_Data!$C$2:$C$2000=TEXT(AH$5,"mmmm")),0),MATCH($B7,Working_Data!$D$1:$AD$1,0))</f>
        <v>214.3</v>
      </c>
      <c r="AI7" s="185" t="s">
        <v>47</v>
      </c>
      <c r="AJ7" s="185" t="s">
        <v>47</v>
      </c>
      <c r="AK7" s="185" t="s">
        <v>47</v>
      </c>
      <c r="AL7" s="185" t="s">
        <v>47</v>
      </c>
      <c r="AM7" s="185" t="s">
        <v>47</v>
      </c>
      <c r="AN7" s="185" t="s">
        <v>47</v>
      </c>
      <c r="AO7" s="186" t="s">
        <v>47</v>
      </c>
    </row>
    <row r="8" spans="1:41" s="181" customFormat="1" x14ac:dyDescent="0.3">
      <c r="A8" s="182" t="s">
        <v>34</v>
      </c>
      <c r="B8" s="183" t="s">
        <v>5</v>
      </c>
      <c r="C8" s="183" t="str">
        <f>_xlfn.XLOOKUP(B8,CPI_Category_Mapping[Category],CPI_Category_Mapping[New Food Category])</f>
        <v>Food</v>
      </c>
      <c r="D8" s="184">
        <f>CORREL(F8:AH8,'Crude Oil Price'!$B$5:$B$33)</f>
        <v>-0.18636846816615313</v>
      </c>
      <c r="E8" s="185" cm="1">
        <f t="array" ref="E8">INDEX(Working_Data!$D$2:$AD$2000,MATCH(1,(Working_Data!$A$2:$A$2000=$A8)*(Working_Data!$B$2:$B$2000=YEAR(E$5))*(Working_Data!$C$2:$C$2000=TEXT(E$5,"mmmm")),0),MATCH($B8,Working_Data!$D$1:$AD$1,0))</f>
        <v>175.3</v>
      </c>
      <c r="F8" s="185" cm="1">
        <f t="array" ref="F8">INDEX(Working_Data!$D$2:$AD$2000,MATCH(1,(Working_Data!$A$2:$A$2000=$A8)*(Working_Data!$B$2:$B$2000=YEAR(F$5))*(Working_Data!$C$2:$C$2000=TEXT(F$5,"mmmm")),0),MATCH($B8,Working_Data!$D$1:$AD$1,0))</f>
        <v>175.3</v>
      </c>
      <c r="G8" s="185" cm="1">
        <f t="array" ref="G8">INDEX(Working_Data!$D$2:$AD$2000,MATCH(1,(Working_Data!$A$2:$A$2000=$A8)*(Working_Data!$B$2:$B$2000=YEAR(G$5))*(Working_Data!$C$2:$C$2000=TEXT(G$5,"mmmm")),0),MATCH($B8,Working_Data!$D$1:$AD$1,0))</f>
        <v>168.7</v>
      </c>
      <c r="H8" s="185" cm="1">
        <f t="array" ref="H8">INDEX(Working_Data!$D$2:$AD$2000,MATCH(1,(Working_Data!$A$2:$A$2000=$A8)*(Working_Data!$B$2:$B$2000=YEAR(H$5))*(Working_Data!$C$2:$C$2000=TEXT(H$5,"mmmm")),0),MATCH($B8,Working_Data!$D$1:$AD$1,0))</f>
        <v>163.80000000000001</v>
      </c>
      <c r="I8" s="185" cm="1">
        <f t="array" ref="I8">INDEX(Working_Data!$D$2:$AD$2000,MATCH(1,(Working_Data!$A$2:$A$2000=$A8)*(Working_Data!$B$2:$B$2000=YEAR(I$5))*(Working_Data!$C$2:$C$2000=TEXT(I$5,"mmmm")),0),MATCH($B8,Working_Data!$D$1:$AD$1,0))</f>
        <v>164.6</v>
      </c>
      <c r="J8" s="185" cm="1">
        <f t="array" ref="J8">INDEX(Working_Data!$D$2:$AD$2000,MATCH(1,(Working_Data!$A$2:$A$2000=$A8)*(Working_Data!$B$2:$B$2000=YEAR(J$5))*(Working_Data!$C$2:$C$2000=TEXT(J$5,"mmmm")),0),MATCH($B8,Working_Data!$D$1:$AD$1,0))</f>
        <v>170.3</v>
      </c>
      <c r="K8" s="185" cm="1">
        <f t="array" ref="K8">INDEX(Working_Data!$D$2:$AD$2000,MATCH(1,(Working_Data!$A$2:$A$2000=$A8)*(Working_Data!$B$2:$B$2000=YEAR(K$5))*(Working_Data!$C$2:$C$2000=TEXT(K$5,"mmmm")),0),MATCH($B8,Working_Data!$D$1:$AD$1,0))</f>
        <v>180.7</v>
      </c>
      <c r="L8" s="185" cm="1">
        <f t="array" ref="L8">INDEX(Working_Data!$D$2:$AD$2000,MATCH(1,(Working_Data!$A$2:$A$2000=$A8)*(Working_Data!$B$2:$B$2000=YEAR(L$5))*(Working_Data!$C$2:$C$2000=TEXT(L$5,"mmmm")),0),MATCH($B8,Working_Data!$D$1:$AD$1,0))</f>
        <v>182.2</v>
      </c>
      <c r="M8" s="185" cm="1">
        <f t="array" ref="M8">INDEX(Working_Data!$D$2:$AD$2000,MATCH(1,(Working_Data!$A$2:$A$2000=$A8)*(Working_Data!$B$2:$B$2000=YEAR(M$5))*(Working_Data!$C$2:$C$2000=TEXT(M$5,"mmmm")),0),MATCH($B8,Working_Data!$D$1:$AD$1,0))</f>
        <v>172.8</v>
      </c>
      <c r="N8" s="185" cm="1">
        <f t="array" ref="N8">INDEX(Working_Data!$D$2:$AD$2000,MATCH(1,(Working_Data!$A$2:$A$2000=$A8)*(Working_Data!$B$2:$B$2000=YEAR(N$5))*(Working_Data!$C$2:$C$2000=TEXT(N$5,"mmmm")),0),MATCH($B8,Working_Data!$D$1:$AD$1,0))</f>
        <v>172.8</v>
      </c>
      <c r="O8" s="185" cm="1">
        <f t="array" ref="O8">INDEX(Working_Data!$D$2:$AD$2000,MATCH(1,(Working_Data!$A$2:$A$2000=$A8)*(Working_Data!$B$2:$B$2000=YEAR(O$5))*(Working_Data!$C$2:$C$2000=TEXT(O$5,"mmmm")),0),MATCH($B8,Working_Data!$D$1:$AD$1,0))</f>
        <v>171.2</v>
      </c>
      <c r="P8" s="185" cm="1">
        <f t="array" ref="P8">INDEX(Working_Data!$D$2:$AD$2000,MATCH(1,(Working_Data!$A$2:$A$2000=$A8)*(Working_Data!$B$2:$B$2000=YEAR(P$5))*(Working_Data!$C$2:$C$2000=TEXT(P$5,"mmmm")),0),MATCH($B8,Working_Data!$D$1:$AD$1,0))</f>
        <v>173</v>
      </c>
      <c r="Q8" s="185" cm="1">
        <f t="array" ref="Q8">INDEX(Working_Data!$D$2:$AD$2000,MATCH(1,(Working_Data!$A$2:$A$2000=$A8)*(Working_Data!$B$2:$B$2000=YEAR(Q$5))*(Working_Data!$C$2:$C$2000=TEXT(Q$5,"mmmm")),0),MATCH($B8,Working_Data!$D$1:$AD$1,0))</f>
        <v>177.9</v>
      </c>
      <c r="R8" s="185" cm="1">
        <f t="array" ref="R8">INDEX(Working_Data!$D$2:$AD$2000,MATCH(1,(Working_Data!$A$2:$A$2000=$A8)*(Working_Data!$B$2:$B$2000=YEAR(R$5))*(Working_Data!$C$2:$C$2000=TEXT(R$5,"mmmm")),0),MATCH($B8,Working_Data!$D$1:$AD$1,0))</f>
        <v>178.8</v>
      </c>
      <c r="S8" s="185" cm="1">
        <f t="array" ref="S8">INDEX(Working_Data!$D$2:$AD$2000,MATCH(1,(Working_Data!$A$2:$A$2000=$A8)*(Working_Data!$B$2:$B$2000=YEAR(S$5))*(Working_Data!$C$2:$C$2000=TEXT(S$5,"mmmm")),0),MATCH($B8,Working_Data!$D$1:$AD$1,0))</f>
        <v>175.8</v>
      </c>
      <c r="T8" s="185" cm="1">
        <f t="array" ref="T8">INDEX(Working_Data!$D$2:$AD$2000,MATCH(1,(Working_Data!$A$2:$A$2000=$A8)*(Working_Data!$B$2:$B$2000=YEAR(T$5))*(Working_Data!$C$2:$C$2000=TEXT(T$5,"mmmm")),0),MATCH($B8,Working_Data!$D$1:$AD$1,0))</f>
        <v>167.8</v>
      </c>
      <c r="U8" s="185" cm="1">
        <f t="array" ref="U8">INDEX(Working_Data!$D$2:$AD$2000,MATCH(1,(Working_Data!$A$2:$A$2000=$A8)*(Working_Data!$B$2:$B$2000=YEAR(U$5))*(Working_Data!$C$2:$C$2000=TEXT(U$5,"mmmm")),0),MATCH($B8,Working_Data!$D$1:$AD$1,0))</f>
        <v>164.5</v>
      </c>
      <c r="V8" s="185" cm="1">
        <f t="array" ref="V8">INDEX(Working_Data!$D$2:$AD$2000,MATCH(1,(Working_Data!$A$2:$A$2000=$A8)*(Working_Data!$B$2:$B$2000=YEAR(V$5))*(Working_Data!$C$2:$C$2000=TEXT(V$5,"mmmm")),0),MATCH($B8,Working_Data!$D$1:$AD$1,0))</f>
        <v>162.4</v>
      </c>
      <c r="W8" s="185" cm="1">
        <f t="array" ref="W8">INDEX(Working_Data!$D$2:$AD$2000,MATCH(1,(Working_Data!$A$2:$A$2000=$A8)*(Working_Data!$B$2:$B$2000=YEAR(W$5))*(Working_Data!$C$2:$C$2000=TEXT(W$5,"mmmm")),0),MATCH($B8,Working_Data!$D$1:$AD$1,0))</f>
        <v>170.8</v>
      </c>
      <c r="X8" s="185" cm="1">
        <f t="array" ref="X8">INDEX(Working_Data!$D$2:$AD$2000,MATCH(1,(Working_Data!$A$2:$A$2000=$A8)*(Working_Data!$B$2:$B$2000=YEAR(X$5))*(Working_Data!$C$2:$C$2000=TEXT(X$5,"mmmm")),0),MATCH($B8,Working_Data!$D$1:$AD$1,0))</f>
        <v>175.2</v>
      </c>
      <c r="Y8" s="185" cm="1">
        <f t="array" ref="Y8">INDEX(Working_Data!$D$2:$AD$2000,MATCH(1,(Working_Data!$A$2:$A$2000=$A8)*(Working_Data!$B$2:$B$2000=YEAR(Y$5))*(Working_Data!$C$2:$C$2000=TEXT(Y$5,"mmmm")),0),MATCH($B8,Working_Data!$D$1:$AD$1,0))</f>
        <v>169.2</v>
      </c>
      <c r="Z8" s="185" cm="1">
        <f t="array" ref="Z8">INDEX(Working_Data!$D$2:$AD$2000,MATCH(1,(Working_Data!$A$2:$A$2000=$A8)*(Working_Data!$B$2:$B$2000=YEAR(Z$5))*(Working_Data!$C$2:$C$2000=TEXT(Z$5,"mmmm")),0),MATCH($B8,Working_Data!$D$1:$AD$1,0))</f>
        <v>169.7</v>
      </c>
      <c r="AA8" s="185" cm="1">
        <f t="array" ref="AA8">INDEX(Working_Data!$D$2:$AD$2000,MATCH(1,(Working_Data!$A$2:$A$2000=$A8)*(Working_Data!$B$2:$B$2000=YEAR(AA$5))*(Working_Data!$C$2:$C$2000=TEXT(AA$5,"mmmm")),0),MATCH($B8,Working_Data!$D$1:$AD$1,0))</f>
        <v>170.9</v>
      </c>
      <c r="AB8" s="185" cm="1">
        <f t="array" ref="AB8">INDEX(Working_Data!$D$2:$AD$2000,MATCH(1,(Working_Data!$A$2:$A$2000=$A8)*(Working_Data!$B$2:$B$2000=YEAR(AB$5))*(Working_Data!$C$2:$C$2000=TEXT(AB$5,"mmmm")),0),MATCH($B8,Working_Data!$D$1:$AD$1,0))</f>
        <v>181.4</v>
      </c>
      <c r="AC8" s="185" cm="1">
        <f t="array" ref="AC8">INDEX(Working_Data!$D$2:$AD$2000,MATCH(1,(Working_Data!$A$2:$A$2000=$A8)*(Working_Data!$B$2:$B$2000=YEAR(AC$5))*(Working_Data!$C$2:$C$2000=TEXT(AC$5,"mmmm")),0),MATCH($B8,Working_Data!$D$1:$AD$1,0))</f>
        <v>190.2</v>
      </c>
      <c r="AD8" s="185" cm="1">
        <f t="array" ref="AD8">INDEX(Working_Data!$D$2:$AD$2000,MATCH(1,(Working_Data!$A$2:$A$2000=$A8)*(Working_Data!$B$2:$B$2000=YEAR(AD$5))*(Working_Data!$C$2:$C$2000=TEXT(AD$5,"mmmm")),0),MATCH($B8,Working_Data!$D$1:$AD$1,0))</f>
        <v>194.5</v>
      </c>
      <c r="AE8" s="185" cm="1">
        <f t="array" ref="AE8">INDEX(Working_Data!$D$2:$AD$2000,MATCH(1,(Working_Data!$A$2:$A$2000=$A8)*(Working_Data!$B$2:$B$2000=YEAR(AE$5))*(Working_Data!$C$2:$C$2000=TEXT(AE$5,"mmmm")),0),MATCH($B8,Working_Data!$D$1:$AD$1,0))</f>
        <v>175.2</v>
      </c>
      <c r="AF8" s="185" cm="1">
        <f t="array" ref="AF8">INDEX(Working_Data!$D$2:$AD$2000,MATCH(1,(Working_Data!$A$2:$A$2000=$A8)*(Working_Data!$B$2:$B$2000=YEAR(AF$5))*(Working_Data!$C$2:$C$2000=TEXT(AF$5,"mmmm")),0),MATCH($B8,Working_Data!$D$1:$AD$1,0))</f>
        <v>175.2</v>
      </c>
      <c r="AG8" s="185" cm="1">
        <f t="array" ref="AG8">INDEX(Working_Data!$D$2:$AD$2000,MATCH(1,(Working_Data!$A$2:$A$2000=$A8)*(Working_Data!$B$2:$B$2000=YEAR(AG$5))*(Working_Data!$C$2:$C$2000=TEXT(AG$5,"mmmm")),0),MATCH($B8,Working_Data!$D$1:$AD$1,0))</f>
        <v>169.6</v>
      </c>
      <c r="AH8" s="185" cm="1">
        <f t="array" ref="AH8">INDEX(Working_Data!$D$2:$AD$2000,MATCH(1,(Working_Data!$A$2:$A$2000=$A8)*(Working_Data!$B$2:$B$2000=YEAR(AH$5))*(Working_Data!$C$2:$C$2000=TEXT(AH$5,"mmmm")),0),MATCH($B8,Working_Data!$D$1:$AD$1,0))</f>
        <v>173.2</v>
      </c>
      <c r="AI8" s="185" t="s">
        <v>47</v>
      </c>
      <c r="AJ8" s="185" t="s">
        <v>47</v>
      </c>
      <c r="AK8" s="185" t="s">
        <v>47</v>
      </c>
      <c r="AL8" s="185" t="s">
        <v>47</v>
      </c>
      <c r="AM8" s="185" t="s">
        <v>47</v>
      </c>
      <c r="AN8" s="185" t="s">
        <v>47</v>
      </c>
      <c r="AO8" s="186" t="s">
        <v>47</v>
      </c>
    </row>
    <row r="9" spans="1:41" s="181" customFormat="1" x14ac:dyDescent="0.3">
      <c r="A9" s="182" t="s">
        <v>34</v>
      </c>
      <c r="B9" s="183" t="s">
        <v>6</v>
      </c>
      <c r="C9" s="183" t="str">
        <f>_xlfn.XLOOKUP(B9,CPI_Category_Mapping[Category],CPI_Category_Mapping[New Food Category])</f>
        <v>Food</v>
      </c>
      <c r="D9" s="184">
        <f>CORREL(F9:AH9,'Crude Oil Price'!$B$5:$B$33)</f>
        <v>0.35310878516096433</v>
      </c>
      <c r="E9" s="185" cm="1">
        <f t="array" ref="E9">INDEX(Working_Data!$D$2:$AD$2000,MATCH(1,(Working_Data!$A$2:$A$2000=$A9)*(Working_Data!$B$2:$B$2000=YEAR(E$5))*(Working_Data!$C$2:$C$2000=TEXT(E$5,"mmmm")),0),MATCH($B9,Working_Data!$D$1:$AD$1,0))</f>
        <v>154.1</v>
      </c>
      <c r="F9" s="185" cm="1">
        <f t="array" ref="F9">INDEX(Working_Data!$D$2:$AD$2000,MATCH(1,(Working_Data!$A$2:$A$2000=$A9)*(Working_Data!$B$2:$B$2000=YEAR(F$5))*(Working_Data!$C$2:$C$2000=TEXT(F$5,"mmmm")),0),MATCH($B9,Working_Data!$D$1:$AD$1,0))</f>
        <v>154.1</v>
      </c>
      <c r="G9" s="185" cm="1">
        <f t="array" ref="G9">INDEX(Working_Data!$D$2:$AD$2000,MATCH(1,(Working_Data!$A$2:$A$2000=$A9)*(Working_Data!$B$2:$B$2000=YEAR(G$5))*(Working_Data!$C$2:$C$2000=TEXT(G$5,"mmmm")),0),MATCH($B9,Working_Data!$D$1:$AD$1,0))</f>
        <v>154.69999999999999</v>
      </c>
      <c r="H9" s="185" cm="1">
        <f t="array" ref="H9">INDEX(Working_Data!$D$2:$AD$2000,MATCH(1,(Working_Data!$A$2:$A$2000=$A9)*(Working_Data!$B$2:$B$2000=YEAR(H$5))*(Working_Data!$C$2:$C$2000=TEXT(H$5,"mmmm")),0),MATCH($B9,Working_Data!$D$1:$AD$1,0))</f>
        <v>154.9</v>
      </c>
      <c r="I9" s="185" cm="1">
        <f t="array" ref="I9">INDEX(Working_Data!$D$2:$AD$2000,MATCH(1,(Working_Data!$A$2:$A$2000=$A9)*(Working_Data!$B$2:$B$2000=YEAR(I$5))*(Working_Data!$C$2:$C$2000=TEXT(I$5,"mmmm")),0),MATCH($B9,Working_Data!$D$1:$AD$1,0))</f>
        <v>155.4</v>
      </c>
      <c r="J9" s="185" cm="1">
        <f t="array" ref="J9">INDEX(Working_Data!$D$2:$AD$2000,MATCH(1,(Working_Data!$A$2:$A$2000=$A9)*(Working_Data!$B$2:$B$2000=YEAR(J$5))*(Working_Data!$C$2:$C$2000=TEXT(J$5,"mmmm")),0),MATCH($B9,Working_Data!$D$1:$AD$1,0))</f>
        <v>156.1</v>
      </c>
      <c r="K9" s="185" cm="1">
        <f t="array" ref="K9">INDEX(Working_Data!$D$2:$AD$2000,MATCH(1,(Working_Data!$A$2:$A$2000=$A9)*(Working_Data!$B$2:$B$2000=YEAR(K$5))*(Working_Data!$C$2:$C$2000=TEXT(K$5,"mmmm")),0),MATCH($B9,Working_Data!$D$1:$AD$1,0))</f>
        <v>156.19999999999999</v>
      </c>
      <c r="L9" s="185" cm="1">
        <f t="array" ref="L9">INDEX(Working_Data!$D$2:$AD$2000,MATCH(1,(Working_Data!$A$2:$A$2000=$A9)*(Working_Data!$B$2:$B$2000=YEAR(L$5))*(Working_Data!$C$2:$C$2000=TEXT(L$5,"mmmm")),0),MATCH($B9,Working_Data!$D$1:$AD$1,0))</f>
        <v>157.5</v>
      </c>
      <c r="M9" s="185" cm="1">
        <f t="array" ref="M9">INDEX(Working_Data!$D$2:$AD$2000,MATCH(1,(Working_Data!$A$2:$A$2000=$A9)*(Working_Data!$B$2:$B$2000=YEAR(M$5))*(Working_Data!$C$2:$C$2000=TEXT(M$5,"mmmm")),0),MATCH($B9,Working_Data!$D$1:$AD$1,0))</f>
        <v>158.4</v>
      </c>
      <c r="N9" s="185" cm="1">
        <f t="array" ref="N9">INDEX(Working_Data!$D$2:$AD$2000,MATCH(1,(Working_Data!$A$2:$A$2000=$A9)*(Working_Data!$B$2:$B$2000=YEAR(N$5))*(Working_Data!$C$2:$C$2000=TEXT(N$5,"mmmm")),0),MATCH($B9,Working_Data!$D$1:$AD$1,0))</f>
        <v>158.4</v>
      </c>
      <c r="O9" s="185" cm="1">
        <f t="array" ref="O9">INDEX(Working_Data!$D$2:$AD$2000,MATCH(1,(Working_Data!$A$2:$A$2000=$A9)*(Working_Data!$B$2:$B$2000=YEAR(O$5))*(Working_Data!$C$2:$C$2000=TEXT(O$5,"mmmm")),0),MATCH($B9,Working_Data!$D$1:$AD$1,0))</f>
        <v>158.69999999999999</v>
      </c>
      <c r="P9" s="185" cm="1">
        <f t="array" ref="P9">INDEX(Working_Data!$D$2:$AD$2000,MATCH(1,(Working_Data!$A$2:$A$2000=$A9)*(Working_Data!$B$2:$B$2000=YEAR(P$5))*(Working_Data!$C$2:$C$2000=TEXT(P$5,"mmmm")),0),MATCH($B9,Working_Data!$D$1:$AD$1,0))</f>
        <v>159.30000000000001</v>
      </c>
      <c r="Q9" s="185" cm="1">
        <f t="array" ref="Q9">INDEX(Working_Data!$D$2:$AD$2000,MATCH(1,(Working_Data!$A$2:$A$2000=$A9)*(Working_Data!$B$2:$B$2000=YEAR(Q$5))*(Working_Data!$C$2:$C$2000=TEXT(Q$5,"mmmm")),0),MATCH($B9,Working_Data!$D$1:$AD$1,0))</f>
        <v>159.9</v>
      </c>
      <c r="R9" s="185" cm="1">
        <f t="array" ref="R9">INDEX(Working_Data!$D$2:$AD$2000,MATCH(1,(Working_Data!$A$2:$A$2000=$A9)*(Working_Data!$B$2:$B$2000=YEAR(R$5))*(Working_Data!$C$2:$C$2000=TEXT(R$5,"mmmm")),0),MATCH($B9,Working_Data!$D$1:$AD$1,0))</f>
        <v>160.5</v>
      </c>
      <c r="S9" s="185" cm="1">
        <f t="array" ref="S9">INDEX(Working_Data!$D$2:$AD$2000,MATCH(1,(Working_Data!$A$2:$A$2000=$A9)*(Working_Data!$B$2:$B$2000=YEAR(S$5))*(Working_Data!$C$2:$C$2000=TEXT(S$5,"mmmm")),0),MATCH($B9,Working_Data!$D$1:$AD$1,0))</f>
        <v>160.69999999999999</v>
      </c>
      <c r="T9" s="185" cm="1">
        <f t="array" ref="T9">INDEX(Working_Data!$D$2:$AD$2000,MATCH(1,(Working_Data!$A$2:$A$2000=$A9)*(Working_Data!$B$2:$B$2000=YEAR(T$5))*(Working_Data!$C$2:$C$2000=TEXT(T$5,"mmmm")),0),MATCH($B9,Working_Data!$D$1:$AD$1,0))</f>
        <v>162.19999999999999</v>
      </c>
      <c r="U9" s="185" cm="1">
        <f t="array" ref="U9">INDEX(Working_Data!$D$2:$AD$2000,MATCH(1,(Working_Data!$A$2:$A$2000=$A9)*(Working_Data!$B$2:$B$2000=YEAR(U$5))*(Working_Data!$C$2:$C$2000=TEXT(U$5,"mmmm")),0),MATCH($B9,Working_Data!$D$1:$AD$1,0))</f>
        <v>163.9</v>
      </c>
      <c r="V9" s="185" cm="1">
        <f t="array" ref="V9">INDEX(Working_Data!$D$2:$AD$2000,MATCH(1,(Working_Data!$A$2:$A$2000=$A9)*(Working_Data!$B$2:$B$2000=YEAR(V$5))*(Working_Data!$C$2:$C$2000=TEXT(V$5,"mmmm")),0),MATCH($B9,Working_Data!$D$1:$AD$1,0))</f>
        <v>164.9</v>
      </c>
      <c r="W9" s="185" cm="1">
        <f t="array" ref="W9">INDEX(Working_Data!$D$2:$AD$2000,MATCH(1,(Working_Data!$A$2:$A$2000=$A9)*(Working_Data!$B$2:$B$2000=YEAR(W$5))*(Working_Data!$C$2:$C$2000=TEXT(W$5,"mmmm")),0),MATCH($B9,Working_Data!$D$1:$AD$1,0))</f>
        <v>165.8</v>
      </c>
      <c r="X9" s="185" cm="1">
        <f t="array" ref="X9">INDEX(Working_Data!$D$2:$AD$2000,MATCH(1,(Working_Data!$A$2:$A$2000=$A9)*(Working_Data!$B$2:$B$2000=YEAR(X$5))*(Working_Data!$C$2:$C$2000=TEXT(X$5,"mmmm")),0),MATCH($B9,Working_Data!$D$1:$AD$1,0))</f>
        <v>166.6</v>
      </c>
      <c r="Y9" s="185" cm="1">
        <f t="array" ref="Y9">INDEX(Working_Data!$D$2:$AD$2000,MATCH(1,(Working_Data!$A$2:$A$2000=$A9)*(Working_Data!$B$2:$B$2000=YEAR(Y$5))*(Working_Data!$C$2:$C$2000=TEXT(Y$5,"mmmm")),0),MATCH($B9,Working_Data!$D$1:$AD$1,0))</f>
        <v>168.1</v>
      </c>
      <c r="Z9" s="185" cm="1">
        <f t="array" ref="Z9">INDEX(Working_Data!$D$2:$AD$2000,MATCH(1,(Working_Data!$A$2:$A$2000=$A9)*(Working_Data!$B$2:$B$2000=YEAR(Z$5))*(Working_Data!$C$2:$C$2000=TEXT(Z$5,"mmmm")),0),MATCH($B9,Working_Data!$D$1:$AD$1,0))</f>
        <v>169.7</v>
      </c>
      <c r="AA9" s="185" cm="1">
        <f t="array" ref="AA9">INDEX(Working_Data!$D$2:$AD$2000,MATCH(1,(Working_Data!$A$2:$A$2000=$A9)*(Working_Data!$B$2:$B$2000=YEAR(AA$5))*(Working_Data!$C$2:$C$2000=TEXT(AA$5,"mmmm")),0),MATCH($B9,Working_Data!$D$1:$AD$1,0))</f>
        <v>170.9</v>
      </c>
      <c r="AB9" s="185" cm="1">
        <f t="array" ref="AB9">INDEX(Working_Data!$D$2:$AD$2000,MATCH(1,(Working_Data!$A$2:$A$2000=$A9)*(Working_Data!$B$2:$B$2000=YEAR(AB$5))*(Working_Data!$C$2:$C$2000=TEXT(AB$5,"mmmm")),0),MATCH($B9,Working_Data!$D$1:$AD$1,0))</f>
        <v>172.3</v>
      </c>
      <c r="AC9" s="185" cm="1">
        <f t="array" ref="AC9">INDEX(Working_Data!$D$2:$AD$2000,MATCH(1,(Working_Data!$A$2:$A$2000=$A9)*(Working_Data!$B$2:$B$2000=YEAR(AC$5))*(Working_Data!$C$2:$C$2000=TEXT(AC$5,"mmmm")),0),MATCH($B9,Working_Data!$D$1:$AD$1,0))</f>
        <v>173.6</v>
      </c>
      <c r="AD9" s="185" cm="1">
        <f t="array" ref="AD9">INDEX(Working_Data!$D$2:$AD$2000,MATCH(1,(Working_Data!$A$2:$A$2000=$A9)*(Working_Data!$B$2:$B$2000=YEAR(AD$5))*(Working_Data!$C$2:$C$2000=TEXT(AD$5,"mmmm")),0),MATCH($B9,Working_Data!$D$1:$AD$1,0))</f>
        <v>174.6</v>
      </c>
      <c r="AE9" s="185" cm="1">
        <f t="array" ref="AE9">INDEX(Working_Data!$D$2:$AD$2000,MATCH(1,(Working_Data!$A$2:$A$2000=$A9)*(Working_Data!$B$2:$B$2000=YEAR(AE$5))*(Working_Data!$C$2:$C$2000=TEXT(AE$5,"mmmm")),0),MATCH($B9,Working_Data!$D$1:$AD$1,0))</f>
        <v>177.3</v>
      </c>
      <c r="AF9" s="185" cm="1">
        <f t="array" ref="AF9">INDEX(Working_Data!$D$2:$AD$2000,MATCH(1,(Working_Data!$A$2:$A$2000=$A9)*(Working_Data!$B$2:$B$2000=YEAR(AF$5))*(Working_Data!$C$2:$C$2000=TEXT(AF$5,"mmmm")),0),MATCH($B9,Working_Data!$D$1:$AD$1,0))</f>
        <v>177.3</v>
      </c>
      <c r="AG9" s="185" cm="1">
        <f t="array" ref="AG9">INDEX(Working_Data!$D$2:$AD$2000,MATCH(1,(Working_Data!$A$2:$A$2000=$A9)*(Working_Data!$B$2:$B$2000=YEAR(AG$5))*(Working_Data!$C$2:$C$2000=TEXT(AG$5,"mmmm")),0),MATCH($B9,Working_Data!$D$1:$AD$1,0))</f>
        <v>178.4</v>
      </c>
      <c r="AH9" s="185" cm="1">
        <f t="array" ref="AH9">INDEX(Working_Data!$D$2:$AD$2000,MATCH(1,(Working_Data!$A$2:$A$2000=$A9)*(Working_Data!$B$2:$B$2000=YEAR(AH$5))*(Working_Data!$C$2:$C$2000=TEXT(AH$5,"mmmm")),0),MATCH($B9,Working_Data!$D$1:$AD$1,0))</f>
        <v>179.5</v>
      </c>
      <c r="AI9" s="185" t="s">
        <v>47</v>
      </c>
      <c r="AJ9" s="185" t="s">
        <v>47</v>
      </c>
      <c r="AK9" s="185" t="s">
        <v>47</v>
      </c>
      <c r="AL9" s="185" t="s">
        <v>47</v>
      </c>
      <c r="AM9" s="185" t="s">
        <v>47</v>
      </c>
      <c r="AN9" s="185" t="s">
        <v>47</v>
      </c>
      <c r="AO9" s="186" t="s">
        <v>47</v>
      </c>
    </row>
    <row r="10" spans="1:41" s="181" customFormat="1" x14ac:dyDescent="0.3">
      <c r="A10" s="182" t="s">
        <v>34</v>
      </c>
      <c r="B10" s="183" t="s">
        <v>7</v>
      </c>
      <c r="C10" s="183" t="str">
        <f>_xlfn.XLOOKUP(B10,CPI_Category_Mapping[Category],CPI_Category_Mapping[New Food Category])</f>
        <v>Food</v>
      </c>
      <c r="D10" s="184">
        <f>CORREL(F10:AH10,'Crude Oil Price'!$B$5:$B$33)</f>
        <v>0.80946650888407234</v>
      </c>
      <c r="E10" s="185" cm="1">
        <f t="array" ref="E10">INDEX(Working_Data!$D$2:$AD$2000,MATCH(1,(Working_Data!$A$2:$A$2000=$A10)*(Working_Data!$B$2:$B$2000=YEAR(E$5))*(Working_Data!$C$2:$C$2000=TEXT(E$5,"mmmm")),0),MATCH($B10,Working_Data!$D$1:$AD$1,0))</f>
        <v>146.6</v>
      </c>
      <c r="F10" s="185" cm="1">
        <f t="array" ref="F10">INDEX(Working_Data!$D$2:$AD$2000,MATCH(1,(Working_Data!$A$2:$A$2000=$A10)*(Working_Data!$B$2:$B$2000=YEAR(F$5))*(Working_Data!$C$2:$C$2000=TEXT(F$5,"mmmm")),0),MATCH($B10,Working_Data!$D$1:$AD$1,0))</f>
        <v>150.9</v>
      </c>
      <c r="G10" s="185" cm="1">
        <f t="array" ref="G10">INDEX(Working_Data!$D$2:$AD$2000,MATCH(1,(Working_Data!$A$2:$A$2000=$A10)*(Working_Data!$B$2:$B$2000=YEAR(G$5))*(Working_Data!$C$2:$C$2000=TEXT(G$5,"mmmm")),0),MATCH($B10,Working_Data!$D$1:$AD$1,0))</f>
        <v>158.69999999999999</v>
      </c>
      <c r="H10" s="185" cm="1">
        <f t="array" ref="H10">INDEX(Working_Data!$D$2:$AD$2000,MATCH(1,(Working_Data!$A$2:$A$2000=$A10)*(Working_Data!$B$2:$B$2000=YEAR(H$5))*(Working_Data!$C$2:$C$2000=TEXT(H$5,"mmmm")),0),MATCH($B10,Working_Data!$D$1:$AD$1,0))</f>
        <v>163.9</v>
      </c>
      <c r="I10" s="185" cm="1">
        <f t="array" ref="I10">INDEX(Working_Data!$D$2:$AD$2000,MATCH(1,(Working_Data!$A$2:$A$2000=$A10)*(Working_Data!$B$2:$B$2000=YEAR(I$5))*(Working_Data!$C$2:$C$2000=TEXT(I$5,"mmmm")),0),MATCH($B10,Working_Data!$D$1:$AD$1,0))</f>
        <v>170.1</v>
      </c>
      <c r="J10" s="185" cm="1">
        <f t="array" ref="J10">INDEX(Working_Data!$D$2:$AD$2000,MATCH(1,(Working_Data!$A$2:$A$2000=$A10)*(Working_Data!$B$2:$B$2000=YEAR(J$5))*(Working_Data!$C$2:$C$2000=TEXT(J$5,"mmmm")),0),MATCH($B10,Working_Data!$D$1:$AD$1,0))</f>
        <v>178.7</v>
      </c>
      <c r="K10" s="185" cm="1">
        <f t="array" ref="K10">INDEX(Working_Data!$D$2:$AD$2000,MATCH(1,(Working_Data!$A$2:$A$2000=$A10)*(Working_Data!$B$2:$B$2000=YEAR(K$5))*(Working_Data!$C$2:$C$2000=TEXT(K$5,"mmmm")),0),MATCH($B10,Working_Data!$D$1:$AD$1,0))</f>
        <v>183.7</v>
      </c>
      <c r="L10" s="185" cm="1">
        <f t="array" ref="L10">INDEX(Working_Data!$D$2:$AD$2000,MATCH(1,(Working_Data!$A$2:$A$2000=$A10)*(Working_Data!$B$2:$B$2000=YEAR(L$5))*(Working_Data!$C$2:$C$2000=TEXT(L$5,"mmmm")),0),MATCH($B10,Working_Data!$D$1:$AD$1,0))</f>
        <v>182.1</v>
      </c>
      <c r="M10" s="185" cm="1">
        <f t="array" ref="M10">INDEX(Working_Data!$D$2:$AD$2000,MATCH(1,(Working_Data!$A$2:$A$2000=$A10)*(Working_Data!$B$2:$B$2000=YEAR(M$5))*(Working_Data!$C$2:$C$2000=TEXT(M$5,"mmmm")),0),MATCH($B10,Working_Data!$D$1:$AD$1,0))</f>
        <v>188</v>
      </c>
      <c r="N10" s="185" cm="1">
        <f t="array" ref="N10">INDEX(Working_Data!$D$2:$AD$2000,MATCH(1,(Working_Data!$A$2:$A$2000=$A10)*(Working_Data!$B$2:$B$2000=YEAR(N$5))*(Working_Data!$C$2:$C$2000=TEXT(N$5,"mmmm")),0),MATCH($B10,Working_Data!$D$1:$AD$1,0))</f>
        <v>188</v>
      </c>
      <c r="O10" s="185" cm="1">
        <f t="array" ref="O10">INDEX(Working_Data!$D$2:$AD$2000,MATCH(1,(Working_Data!$A$2:$A$2000=$A10)*(Working_Data!$B$2:$B$2000=YEAR(O$5))*(Working_Data!$C$2:$C$2000=TEXT(O$5,"mmmm")),0),MATCH($B10,Working_Data!$D$1:$AD$1,0))</f>
        <v>190.6</v>
      </c>
      <c r="P10" s="185" cm="1">
        <f t="array" ref="P10">INDEX(Working_Data!$D$2:$AD$2000,MATCH(1,(Working_Data!$A$2:$A$2000=$A10)*(Working_Data!$B$2:$B$2000=YEAR(P$5))*(Working_Data!$C$2:$C$2000=TEXT(P$5,"mmmm")),0),MATCH($B10,Working_Data!$D$1:$AD$1,0))</f>
        <v>190.1</v>
      </c>
      <c r="Q10" s="185" cm="1">
        <f t="array" ref="Q10">INDEX(Working_Data!$D$2:$AD$2000,MATCH(1,(Working_Data!$A$2:$A$2000=$A10)*(Working_Data!$B$2:$B$2000=YEAR(Q$5))*(Working_Data!$C$2:$C$2000=TEXT(Q$5,"mmmm")),0),MATCH($B10,Working_Data!$D$1:$AD$1,0))</f>
        <v>187.6</v>
      </c>
      <c r="R10" s="185" cm="1">
        <f t="array" ref="R10">INDEX(Working_Data!$D$2:$AD$2000,MATCH(1,(Working_Data!$A$2:$A$2000=$A10)*(Working_Data!$B$2:$B$2000=YEAR(R$5))*(Working_Data!$C$2:$C$2000=TEXT(R$5,"mmmm")),0),MATCH($B10,Working_Data!$D$1:$AD$1,0))</f>
        <v>184.7</v>
      </c>
      <c r="S10" s="185" cm="1">
        <f t="array" ref="S10">INDEX(Working_Data!$D$2:$AD$2000,MATCH(1,(Working_Data!$A$2:$A$2000=$A10)*(Working_Data!$B$2:$B$2000=YEAR(S$5))*(Working_Data!$C$2:$C$2000=TEXT(S$5,"mmmm")),0),MATCH($B10,Working_Data!$D$1:$AD$1,0))</f>
        <v>184.9</v>
      </c>
      <c r="T10" s="185" cm="1">
        <f t="array" ref="T10">INDEX(Working_Data!$D$2:$AD$2000,MATCH(1,(Working_Data!$A$2:$A$2000=$A10)*(Working_Data!$B$2:$B$2000=YEAR(T$5))*(Working_Data!$C$2:$C$2000=TEXT(T$5,"mmmm")),0),MATCH($B10,Working_Data!$D$1:$AD$1,0))</f>
        <v>194.6</v>
      </c>
      <c r="U10" s="185" cm="1">
        <f t="array" ref="U10">INDEX(Working_Data!$D$2:$AD$2000,MATCH(1,(Working_Data!$A$2:$A$2000=$A10)*(Working_Data!$B$2:$B$2000=YEAR(U$5))*(Working_Data!$C$2:$C$2000=TEXT(U$5,"mmmm")),0),MATCH($B10,Working_Data!$D$1:$AD$1,0))</f>
        <v>199.5</v>
      </c>
      <c r="V10" s="185" cm="1">
        <f t="array" ref="V10">INDEX(Working_Data!$D$2:$AD$2000,MATCH(1,(Working_Data!$A$2:$A$2000=$A10)*(Working_Data!$B$2:$B$2000=YEAR(V$5))*(Working_Data!$C$2:$C$2000=TEXT(V$5,"mmmm")),0),MATCH($B10,Working_Data!$D$1:$AD$1,0))</f>
        <v>202.4</v>
      </c>
      <c r="W10" s="185" cm="1">
        <f t="array" ref="W10">INDEX(Working_Data!$D$2:$AD$2000,MATCH(1,(Working_Data!$A$2:$A$2000=$A10)*(Working_Data!$B$2:$B$2000=YEAR(W$5))*(Working_Data!$C$2:$C$2000=TEXT(W$5,"mmmm")),0),MATCH($B10,Working_Data!$D$1:$AD$1,0))</f>
        <v>200.9</v>
      </c>
      <c r="X10" s="185" cm="1">
        <f t="array" ref="X10">INDEX(Working_Data!$D$2:$AD$2000,MATCH(1,(Working_Data!$A$2:$A$2000=$A10)*(Working_Data!$B$2:$B$2000=YEAR(X$5))*(Working_Data!$C$2:$C$2000=TEXT(X$5,"mmmm")),0),MATCH($B10,Working_Data!$D$1:$AD$1,0))</f>
        <v>195.8</v>
      </c>
      <c r="Y10" s="185" cm="1">
        <f t="array" ref="Y10">INDEX(Working_Data!$D$2:$AD$2000,MATCH(1,(Working_Data!$A$2:$A$2000=$A10)*(Working_Data!$B$2:$B$2000=YEAR(Y$5))*(Working_Data!$C$2:$C$2000=TEXT(Y$5,"mmmm")),0),MATCH($B10,Working_Data!$D$1:$AD$1,0))</f>
        <v>192.4</v>
      </c>
      <c r="Z10" s="185" cm="1">
        <f t="array" ref="Z10">INDEX(Working_Data!$D$2:$AD$2000,MATCH(1,(Working_Data!$A$2:$A$2000=$A10)*(Working_Data!$B$2:$B$2000=YEAR(Z$5))*(Working_Data!$C$2:$C$2000=TEXT(Z$5,"mmmm")),0),MATCH($B10,Working_Data!$D$1:$AD$1,0))</f>
        <v>188.7</v>
      </c>
      <c r="AA10" s="185" cm="1">
        <f t="array" ref="AA10">INDEX(Working_Data!$D$2:$AD$2000,MATCH(1,(Working_Data!$A$2:$A$2000=$A10)*(Working_Data!$B$2:$B$2000=YEAR(AA$5))*(Working_Data!$C$2:$C$2000=TEXT(AA$5,"mmmm")),0),MATCH($B10,Working_Data!$D$1:$AD$1,0))</f>
        <v>186.5</v>
      </c>
      <c r="AB10" s="185" cm="1">
        <f t="array" ref="AB10">INDEX(Working_Data!$D$2:$AD$2000,MATCH(1,(Working_Data!$A$2:$A$2000=$A10)*(Working_Data!$B$2:$B$2000=YEAR(AB$5))*(Working_Data!$C$2:$C$2000=TEXT(AB$5,"mmmm")),0),MATCH($B10,Working_Data!$D$1:$AD$1,0))</f>
        <v>188.9</v>
      </c>
      <c r="AC10" s="185" cm="1">
        <f t="array" ref="AC10">INDEX(Working_Data!$D$2:$AD$2000,MATCH(1,(Working_Data!$A$2:$A$2000=$A10)*(Working_Data!$B$2:$B$2000=YEAR(AC$5))*(Working_Data!$C$2:$C$2000=TEXT(AC$5,"mmmm")),0),MATCH($B10,Working_Data!$D$1:$AD$1,0))</f>
        <v>188.5</v>
      </c>
      <c r="AD10" s="185" cm="1">
        <f t="array" ref="AD10">INDEX(Working_Data!$D$2:$AD$2000,MATCH(1,(Working_Data!$A$2:$A$2000=$A10)*(Working_Data!$B$2:$B$2000=YEAR(AD$5))*(Working_Data!$C$2:$C$2000=TEXT(AD$5,"mmmm")),0),MATCH($B10,Working_Data!$D$1:$AD$1,0))</f>
        <v>187.2</v>
      </c>
      <c r="AE10" s="185" cm="1">
        <f t="array" ref="AE10">INDEX(Working_Data!$D$2:$AD$2000,MATCH(1,(Working_Data!$A$2:$A$2000=$A10)*(Working_Data!$B$2:$B$2000=YEAR(AE$5))*(Working_Data!$C$2:$C$2000=TEXT(AE$5,"mmmm")),0),MATCH($B10,Working_Data!$D$1:$AD$1,0))</f>
        <v>179.3</v>
      </c>
      <c r="AF10" s="185" cm="1">
        <f t="array" ref="AF10">INDEX(Working_Data!$D$2:$AD$2000,MATCH(1,(Working_Data!$A$2:$A$2000=$A10)*(Working_Data!$B$2:$B$2000=YEAR(AF$5))*(Working_Data!$C$2:$C$2000=TEXT(AF$5,"mmmm")),0),MATCH($B10,Working_Data!$D$1:$AD$1,0))</f>
        <v>179.2</v>
      </c>
      <c r="AG10" s="185" cm="1">
        <f t="array" ref="AG10">INDEX(Working_Data!$D$2:$AD$2000,MATCH(1,(Working_Data!$A$2:$A$2000=$A10)*(Working_Data!$B$2:$B$2000=YEAR(AG$5))*(Working_Data!$C$2:$C$2000=TEXT(AG$5,"mmmm")),0),MATCH($B10,Working_Data!$D$1:$AD$1,0))</f>
        <v>174.9</v>
      </c>
      <c r="AH10" s="185" cm="1">
        <f t="array" ref="AH10">INDEX(Working_Data!$D$2:$AD$2000,MATCH(1,(Working_Data!$A$2:$A$2000=$A10)*(Working_Data!$B$2:$B$2000=YEAR(AH$5))*(Working_Data!$C$2:$C$2000=TEXT(AH$5,"mmmm")),0),MATCH($B10,Working_Data!$D$1:$AD$1,0))</f>
        <v>170</v>
      </c>
      <c r="AI10" s="185" t="s">
        <v>47</v>
      </c>
      <c r="AJ10" s="185" t="s">
        <v>47</v>
      </c>
      <c r="AK10" s="185" t="s">
        <v>47</v>
      </c>
      <c r="AL10" s="185" t="s">
        <v>47</v>
      </c>
      <c r="AM10" s="185" t="s">
        <v>47</v>
      </c>
      <c r="AN10" s="185" t="s">
        <v>47</v>
      </c>
      <c r="AO10" s="186" t="s">
        <v>47</v>
      </c>
    </row>
    <row r="11" spans="1:41" s="181" customFormat="1" x14ac:dyDescent="0.3">
      <c r="A11" s="182" t="s">
        <v>34</v>
      </c>
      <c r="B11" s="183" t="s">
        <v>8</v>
      </c>
      <c r="C11" s="183" t="str">
        <f>_xlfn.XLOOKUP(B11,CPI_Category_Mapping[Category],CPI_Category_Mapping[New Food Category])</f>
        <v>Food</v>
      </c>
      <c r="D11" s="184">
        <f>CORREL(F11:AH11,'Crude Oil Price'!$B$5:$B$33)</f>
        <v>0.47239561761922116</v>
      </c>
      <c r="E11" s="185" cm="1">
        <f t="array" ref="E11">INDEX(Working_Data!$D$2:$AD$2000,MATCH(1,(Working_Data!$A$2:$A$2000=$A11)*(Working_Data!$B$2:$B$2000=YEAR(E$5))*(Working_Data!$C$2:$C$2000=TEXT(E$5,"mmmm")),0),MATCH($B11,Working_Data!$D$1:$AD$1,0))</f>
        <v>147.69999999999999</v>
      </c>
      <c r="F11" s="185" cm="1">
        <f t="array" ref="F11">INDEX(Working_Data!$D$2:$AD$2000,MATCH(1,(Working_Data!$A$2:$A$2000=$A11)*(Working_Data!$B$2:$B$2000=YEAR(F$5))*(Working_Data!$C$2:$C$2000=TEXT(F$5,"mmmm")),0),MATCH($B11,Working_Data!$D$1:$AD$1,0))</f>
        <v>149.6</v>
      </c>
      <c r="G11" s="185" cm="1">
        <f t="array" ref="G11">INDEX(Working_Data!$D$2:$AD$2000,MATCH(1,(Working_Data!$A$2:$A$2000=$A11)*(Working_Data!$B$2:$B$2000=YEAR(G$5))*(Working_Data!$C$2:$C$2000=TEXT(G$5,"mmmm")),0),MATCH($B11,Working_Data!$D$1:$AD$1,0))</f>
        <v>150.69999999999999</v>
      </c>
      <c r="H11" s="185" cm="1">
        <f t="array" ref="H11">INDEX(Working_Data!$D$2:$AD$2000,MATCH(1,(Working_Data!$A$2:$A$2000=$A11)*(Working_Data!$B$2:$B$2000=YEAR(H$5))*(Working_Data!$C$2:$C$2000=TEXT(H$5,"mmmm")),0),MATCH($B11,Working_Data!$D$1:$AD$1,0))</f>
        <v>153.69999999999999</v>
      </c>
      <c r="I11" s="185" cm="1">
        <f t="array" ref="I11">INDEX(Working_Data!$D$2:$AD$2000,MATCH(1,(Working_Data!$A$2:$A$2000=$A11)*(Working_Data!$B$2:$B$2000=YEAR(I$5))*(Working_Data!$C$2:$C$2000=TEXT(I$5,"mmmm")),0),MATCH($B11,Working_Data!$D$1:$AD$1,0))</f>
        <v>164.4</v>
      </c>
      <c r="J11" s="185" cm="1">
        <f t="array" ref="J11">INDEX(Working_Data!$D$2:$AD$2000,MATCH(1,(Working_Data!$A$2:$A$2000=$A11)*(Working_Data!$B$2:$B$2000=YEAR(J$5))*(Working_Data!$C$2:$C$2000=TEXT(J$5,"mmmm")),0),MATCH($B11,Working_Data!$D$1:$AD$1,0))</f>
        <v>167.1</v>
      </c>
      <c r="K11" s="185" cm="1">
        <f t="array" ref="K11">INDEX(Working_Data!$D$2:$AD$2000,MATCH(1,(Working_Data!$A$2:$A$2000=$A11)*(Working_Data!$B$2:$B$2000=YEAR(K$5))*(Working_Data!$C$2:$C$2000=TEXT(K$5,"mmmm")),0),MATCH($B11,Working_Data!$D$1:$AD$1,0))</f>
        <v>164.6</v>
      </c>
      <c r="L11" s="185" cm="1">
        <f t="array" ref="L11">INDEX(Working_Data!$D$2:$AD$2000,MATCH(1,(Working_Data!$A$2:$A$2000=$A11)*(Working_Data!$B$2:$B$2000=YEAR(L$5))*(Working_Data!$C$2:$C$2000=TEXT(L$5,"mmmm")),0),MATCH($B11,Working_Data!$D$1:$AD$1,0))</f>
        <v>163.9</v>
      </c>
      <c r="M11" s="185" cm="1">
        <f t="array" ref="M11">INDEX(Working_Data!$D$2:$AD$2000,MATCH(1,(Working_Data!$A$2:$A$2000=$A11)*(Working_Data!$B$2:$B$2000=YEAR(M$5))*(Working_Data!$C$2:$C$2000=TEXT(M$5,"mmmm")),0),MATCH($B11,Working_Data!$D$1:$AD$1,0))</f>
        <v>156.80000000000001</v>
      </c>
      <c r="N11" s="185" cm="1">
        <f t="array" ref="N11">INDEX(Working_Data!$D$2:$AD$2000,MATCH(1,(Working_Data!$A$2:$A$2000=$A11)*(Working_Data!$B$2:$B$2000=YEAR(N$5))*(Working_Data!$C$2:$C$2000=TEXT(N$5,"mmmm")),0),MATCH($B11,Working_Data!$D$1:$AD$1,0))</f>
        <v>156.69999999999999</v>
      </c>
      <c r="O11" s="185" cm="1">
        <f t="array" ref="O11">INDEX(Working_Data!$D$2:$AD$2000,MATCH(1,(Working_Data!$A$2:$A$2000=$A11)*(Working_Data!$B$2:$B$2000=YEAR(O$5))*(Working_Data!$C$2:$C$2000=TEXT(O$5,"mmmm")),0),MATCH($B11,Working_Data!$D$1:$AD$1,0))</f>
        <v>155.69999999999999</v>
      </c>
      <c r="P11" s="185" cm="1">
        <f t="array" ref="P11">INDEX(Working_Data!$D$2:$AD$2000,MATCH(1,(Working_Data!$A$2:$A$2000=$A11)*(Working_Data!$B$2:$B$2000=YEAR(P$5))*(Working_Data!$C$2:$C$2000=TEXT(P$5,"mmmm")),0),MATCH($B11,Working_Data!$D$1:$AD$1,0))</f>
        <v>156.5</v>
      </c>
      <c r="Q11" s="185" cm="1">
        <f t="array" ref="Q11">INDEX(Working_Data!$D$2:$AD$2000,MATCH(1,(Working_Data!$A$2:$A$2000=$A11)*(Working_Data!$B$2:$B$2000=YEAR(Q$5))*(Working_Data!$C$2:$C$2000=TEXT(Q$5,"mmmm")),0),MATCH($B11,Working_Data!$D$1:$AD$1,0))</f>
        <v>154.9</v>
      </c>
      <c r="R11" s="185" cm="1">
        <f t="array" ref="R11">INDEX(Working_Data!$D$2:$AD$2000,MATCH(1,(Working_Data!$A$2:$A$2000=$A11)*(Working_Data!$B$2:$B$2000=YEAR(R$5))*(Working_Data!$C$2:$C$2000=TEXT(R$5,"mmmm")),0),MATCH($B11,Working_Data!$D$1:$AD$1,0))</f>
        <v>153.69999999999999</v>
      </c>
      <c r="S11" s="185" cm="1">
        <f t="array" ref="S11">INDEX(Working_Data!$D$2:$AD$2000,MATCH(1,(Working_Data!$A$2:$A$2000=$A11)*(Working_Data!$B$2:$B$2000=YEAR(S$5))*(Working_Data!$C$2:$C$2000=TEXT(S$5,"mmmm")),0),MATCH($B11,Working_Data!$D$1:$AD$1,0))</f>
        <v>153.69999999999999</v>
      </c>
      <c r="T11" s="185" cm="1">
        <f t="array" ref="T11">INDEX(Working_Data!$D$2:$AD$2000,MATCH(1,(Working_Data!$A$2:$A$2000=$A11)*(Working_Data!$B$2:$B$2000=YEAR(T$5))*(Working_Data!$C$2:$C$2000=TEXT(T$5,"mmmm")),0),MATCH($B11,Working_Data!$D$1:$AD$1,0))</f>
        <v>157.6</v>
      </c>
      <c r="U11" s="185" cm="1">
        <f t="array" ref="U11">INDEX(Working_Data!$D$2:$AD$2000,MATCH(1,(Working_Data!$A$2:$A$2000=$A11)*(Working_Data!$B$2:$B$2000=YEAR(U$5))*(Working_Data!$C$2:$C$2000=TEXT(U$5,"mmmm")),0),MATCH($B11,Working_Data!$D$1:$AD$1,0))</f>
        <v>172.6</v>
      </c>
      <c r="V11" s="185" cm="1">
        <f t="array" ref="V11">INDEX(Working_Data!$D$2:$AD$2000,MATCH(1,(Working_Data!$A$2:$A$2000=$A11)*(Working_Data!$B$2:$B$2000=YEAR(V$5))*(Working_Data!$C$2:$C$2000=TEXT(V$5,"mmmm")),0),MATCH($B11,Working_Data!$D$1:$AD$1,0))</f>
        <v>171</v>
      </c>
      <c r="W11" s="185" cm="1">
        <f t="array" ref="W11">INDEX(Working_Data!$D$2:$AD$2000,MATCH(1,(Working_Data!$A$2:$A$2000=$A11)*(Working_Data!$B$2:$B$2000=YEAR(W$5))*(Working_Data!$C$2:$C$2000=TEXT(W$5,"mmmm")),0),MATCH($B11,Working_Data!$D$1:$AD$1,0))</f>
        <v>169.7</v>
      </c>
      <c r="X11" s="185" cm="1">
        <f t="array" ref="X11">INDEX(Working_Data!$D$2:$AD$2000,MATCH(1,(Working_Data!$A$2:$A$2000=$A11)*(Working_Data!$B$2:$B$2000=YEAR(X$5))*(Working_Data!$C$2:$C$2000=TEXT(X$5,"mmmm")),0),MATCH($B11,Working_Data!$D$1:$AD$1,0))</f>
        <v>174.2</v>
      </c>
      <c r="Y11" s="185" cm="1">
        <f t="array" ref="Y11">INDEX(Working_Data!$D$2:$AD$2000,MATCH(1,(Working_Data!$A$2:$A$2000=$A11)*(Working_Data!$B$2:$B$2000=YEAR(Y$5))*(Working_Data!$C$2:$C$2000=TEXT(Y$5,"mmmm")),0),MATCH($B11,Working_Data!$D$1:$AD$1,0))</f>
        <v>172.9</v>
      </c>
      <c r="Z11" s="185" cm="1">
        <f t="array" ref="Z11">INDEX(Working_Data!$D$2:$AD$2000,MATCH(1,(Working_Data!$A$2:$A$2000=$A11)*(Working_Data!$B$2:$B$2000=YEAR(Z$5))*(Working_Data!$C$2:$C$2000=TEXT(Z$5,"mmmm")),0),MATCH($B11,Working_Data!$D$1:$AD$1,0))</f>
        <v>165.7</v>
      </c>
      <c r="AA11" s="185" cm="1">
        <f t="array" ref="AA11">INDEX(Working_Data!$D$2:$AD$2000,MATCH(1,(Working_Data!$A$2:$A$2000=$A11)*(Working_Data!$B$2:$B$2000=YEAR(AA$5))*(Working_Data!$C$2:$C$2000=TEXT(AA$5,"mmmm")),0),MATCH($B11,Working_Data!$D$1:$AD$1,0))</f>
        <v>163.80000000000001</v>
      </c>
      <c r="AB11" s="185" cm="1">
        <f t="array" ref="AB11">INDEX(Working_Data!$D$2:$AD$2000,MATCH(1,(Working_Data!$A$2:$A$2000=$A11)*(Working_Data!$B$2:$B$2000=YEAR(AB$5))*(Working_Data!$C$2:$C$2000=TEXT(AB$5,"mmmm")),0),MATCH($B11,Working_Data!$D$1:$AD$1,0))</f>
        <v>160.69999999999999</v>
      </c>
      <c r="AC11" s="185" cm="1">
        <f t="array" ref="AC11">INDEX(Working_Data!$D$2:$AD$2000,MATCH(1,(Working_Data!$A$2:$A$2000=$A11)*(Working_Data!$B$2:$B$2000=YEAR(AC$5))*(Working_Data!$C$2:$C$2000=TEXT(AC$5,"mmmm")),0),MATCH($B11,Working_Data!$D$1:$AD$1,0))</f>
        <v>158</v>
      </c>
      <c r="AD11" s="185" cm="1">
        <f t="array" ref="AD11">INDEX(Working_Data!$D$2:$AD$2000,MATCH(1,(Working_Data!$A$2:$A$2000=$A11)*(Working_Data!$B$2:$B$2000=YEAR(AD$5))*(Working_Data!$C$2:$C$2000=TEXT(AD$5,"mmmm")),0),MATCH($B11,Working_Data!$D$1:$AD$1,0))</f>
        <v>158.30000000000001</v>
      </c>
      <c r="AE11" s="185" cm="1">
        <f t="array" ref="AE11">INDEX(Working_Data!$D$2:$AD$2000,MATCH(1,(Working_Data!$A$2:$A$2000=$A11)*(Working_Data!$B$2:$B$2000=YEAR(AE$5))*(Working_Data!$C$2:$C$2000=TEXT(AE$5,"mmmm")),0),MATCH($B11,Working_Data!$D$1:$AD$1,0))</f>
        <v>169.5</v>
      </c>
      <c r="AF11" s="185" cm="1">
        <f t="array" ref="AF11">INDEX(Working_Data!$D$2:$AD$2000,MATCH(1,(Working_Data!$A$2:$A$2000=$A11)*(Working_Data!$B$2:$B$2000=YEAR(AF$5))*(Working_Data!$C$2:$C$2000=TEXT(AF$5,"mmmm")),0),MATCH($B11,Working_Data!$D$1:$AD$1,0))</f>
        <v>169.5</v>
      </c>
      <c r="AG11" s="185" cm="1">
        <f t="array" ref="AG11">INDEX(Working_Data!$D$2:$AD$2000,MATCH(1,(Working_Data!$A$2:$A$2000=$A11)*(Working_Data!$B$2:$B$2000=YEAR(AG$5))*(Working_Data!$C$2:$C$2000=TEXT(AG$5,"mmmm")),0),MATCH($B11,Working_Data!$D$1:$AD$1,0))</f>
        <v>176.3</v>
      </c>
      <c r="AH11" s="185" cm="1">
        <f t="array" ref="AH11">INDEX(Working_Data!$D$2:$AD$2000,MATCH(1,(Working_Data!$A$2:$A$2000=$A11)*(Working_Data!$B$2:$B$2000=YEAR(AH$5))*(Working_Data!$C$2:$C$2000=TEXT(AH$5,"mmmm")),0),MATCH($B11,Working_Data!$D$1:$AD$1,0))</f>
        <v>172.2</v>
      </c>
      <c r="AI11" s="185" t="s">
        <v>47</v>
      </c>
      <c r="AJ11" s="185" t="s">
        <v>47</v>
      </c>
      <c r="AK11" s="185" t="s">
        <v>47</v>
      </c>
      <c r="AL11" s="185" t="s">
        <v>47</v>
      </c>
      <c r="AM11" s="185" t="s">
        <v>47</v>
      </c>
      <c r="AN11" s="185" t="s">
        <v>47</v>
      </c>
      <c r="AO11" s="186" t="s">
        <v>47</v>
      </c>
    </row>
    <row r="12" spans="1:41" s="181" customFormat="1" x14ac:dyDescent="0.3">
      <c r="A12" s="182" t="s">
        <v>34</v>
      </c>
      <c r="B12" s="183" t="s">
        <v>9</v>
      </c>
      <c r="C12" s="183" t="str">
        <f>_xlfn.XLOOKUP(B12,CPI_Category_Mapping[Category],CPI_Category_Mapping[New Food Category])</f>
        <v>Food</v>
      </c>
      <c r="D12" s="184">
        <f>CORREL(F12:AH12,'Crude Oil Price'!$B$5:$B$33)</f>
        <v>0.34646080664801909</v>
      </c>
      <c r="E12" s="185" cm="1">
        <f t="array" ref="E12">INDEX(Working_Data!$D$2:$AD$2000,MATCH(1,(Working_Data!$A$2:$A$2000=$A12)*(Working_Data!$B$2:$B$2000=YEAR(E$5))*(Working_Data!$C$2:$C$2000=TEXT(E$5,"mmmm")),0),MATCH($B12,Working_Data!$D$1:$AD$1,0))</f>
        <v>230.5</v>
      </c>
      <c r="F12" s="185" cm="1">
        <f t="array" ref="F12">INDEX(Working_Data!$D$2:$AD$2000,MATCH(1,(Working_Data!$A$2:$A$2000=$A12)*(Working_Data!$B$2:$B$2000=YEAR(F$5))*(Working_Data!$C$2:$C$2000=TEXT(F$5,"mmmm")),0),MATCH($B12,Working_Data!$D$1:$AD$1,0))</f>
        <v>194.2</v>
      </c>
      <c r="G12" s="185" cm="1">
        <f t="array" ref="G12">INDEX(Working_Data!$D$2:$AD$2000,MATCH(1,(Working_Data!$A$2:$A$2000=$A12)*(Working_Data!$B$2:$B$2000=YEAR(G$5))*(Working_Data!$C$2:$C$2000=TEXT(G$5,"mmmm")),0),MATCH($B12,Working_Data!$D$1:$AD$1,0))</f>
        <v>160</v>
      </c>
      <c r="H12" s="185" cm="1">
        <f t="array" ref="H12">INDEX(Working_Data!$D$2:$AD$2000,MATCH(1,(Working_Data!$A$2:$A$2000=$A12)*(Working_Data!$B$2:$B$2000=YEAR(H$5))*(Working_Data!$C$2:$C$2000=TEXT(H$5,"mmmm")),0),MATCH($B12,Working_Data!$D$1:$AD$1,0))</f>
        <v>149.5</v>
      </c>
      <c r="I12" s="185" cm="1">
        <f t="array" ref="I12">INDEX(Working_Data!$D$2:$AD$2000,MATCH(1,(Working_Data!$A$2:$A$2000=$A12)*(Working_Data!$B$2:$B$2000=YEAR(I$5))*(Working_Data!$C$2:$C$2000=TEXT(I$5,"mmmm")),0),MATCH($B12,Working_Data!$D$1:$AD$1,0))</f>
        <v>144.1</v>
      </c>
      <c r="J12" s="185" cm="1">
        <f t="array" ref="J12">INDEX(Working_Data!$D$2:$AD$2000,MATCH(1,(Working_Data!$A$2:$A$2000=$A12)*(Working_Data!$B$2:$B$2000=YEAR(J$5))*(Working_Data!$C$2:$C$2000=TEXT(J$5,"mmmm")),0),MATCH($B12,Working_Data!$D$1:$AD$1,0))</f>
        <v>147.9</v>
      </c>
      <c r="K12" s="185" cm="1">
        <f t="array" ref="K12">INDEX(Working_Data!$D$2:$AD$2000,MATCH(1,(Working_Data!$A$2:$A$2000=$A12)*(Working_Data!$B$2:$B$2000=YEAR(K$5))*(Working_Data!$C$2:$C$2000=TEXT(K$5,"mmmm")),0),MATCH($B12,Working_Data!$D$1:$AD$1,0))</f>
        <v>155.4</v>
      </c>
      <c r="L12" s="185" cm="1">
        <f t="array" ref="L12">INDEX(Working_Data!$D$2:$AD$2000,MATCH(1,(Working_Data!$A$2:$A$2000=$A12)*(Working_Data!$B$2:$B$2000=YEAR(L$5))*(Working_Data!$C$2:$C$2000=TEXT(L$5,"mmmm")),0),MATCH($B12,Working_Data!$D$1:$AD$1,0))</f>
        <v>164.2</v>
      </c>
      <c r="M12" s="185" cm="1">
        <f t="array" ref="M12">INDEX(Working_Data!$D$2:$AD$2000,MATCH(1,(Working_Data!$A$2:$A$2000=$A12)*(Working_Data!$B$2:$B$2000=YEAR(M$5))*(Working_Data!$C$2:$C$2000=TEXT(M$5,"mmmm")),0),MATCH($B12,Working_Data!$D$1:$AD$1,0))</f>
        <v>162.19999999999999</v>
      </c>
      <c r="N12" s="185" cm="1">
        <f t="array" ref="N12">INDEX(Working_Data!$D$2:$AD$2000,MATCH(1,(Working_Data!$A$2:$A$2000=$A12)*(Working_Data!$B$2:$B$2000=YEAR(N$5))*(Working_Data!$C$2:$C$2000=TEXT(N$5,"mmmm")),0),MATCH($B12,Working_Data!$D$1:$AD$1,0))</f>
        <v>162.30000000000001</v>
      </c>
      <c r="O12" s="185" cm="1">
        <f t="array" ref="O12">INDEX(Working_Data!$D$2:$AD$2000,MATCH(1,(Working_Data!$A$2:$A$2000=$A12)*(Working_Data!$B$2:$B$2000=YEAR(O$5))*(Working_Data!$C$2:$C$2000=TEXT(O$5,"mmmm")),0),MATCH($B12,Working_Data!$D$1:$AD$1,0))</f>
        <v>185.3</v>
      </c>
      <c r="P12" s="185" cm="1">
        <f t="array" ref="P12">INDEX(Working_Data!$D$2:$AD$2000,MATCH(1,(Working_Data!$A$2:$A$2000=$A12)*(Working_Data!$B$2:$B$2000=YEAR(P$5))*(Working_Data!$C$2:$C$2000=TEXT(P$5,"mmmm")),0),MATCH($B12,Working_Data!$D$1:$AD$1,0))</f>
        <v>199.2</v>
      </c>
      <c r="Q12" s="185" cm="1">
        <f t="array" ref="Q12">INDEX(Working_Data!$D$2:$AD$2000,MATCH(1,(Working_Data!$A$2:$A$2000=$A12)*(Working_Data!$B$2:$B$2000=YEAR(Q$5))*(Working_Data!$C$2:$C$2000=TEXT(Q$5,"mmmm")),0),MATCH($B12,Working_Data!$D$1:$AD$1,0))</f>
        <v>188.3</v>
      </c>
      <c r="R12" s="185" cm="1">
        <f t="array" ref="R12">INDEX(Working_Data!$D$2:$AD$2000,MATCH(1,(Working_Data!$A$2:$A$2000=$A12)*(Working_Data!$B$2:$B$2000=YEAR(R$5))*(Working_Data!$C$2:$C$2000=TEXT(R$5,"mmmm")),0),MATCH($B12,Working_Data!$D$1:$AD$1,0))</f>
        <v>174.3</v>
      </c>
      <c r="S12" s="185" cm="1">
        <f t="array" ref="S12">INDEX(Working_Data!$D$2:$AD$2000,MATCH(1,(Working_Data!$A$2:$A$2000=$A12)*(Working_Data!$B$2:$B$2000=YEAR(S$5))*(Working_Data!$C$2:$C$2000=TEXT(S$5,"mmmm")),0),MATCH($B12,Working_Data!$D$1:$AD$1,0))</f>
        <v>169.7</v>
      </c>
      <c r="T12" s="185" cm="1">
        <f t="array" ref="T12">INDEX(Working_Data!$D$2:$AD$2000,MATCH(1,(Working_Data!$A$2:$A$2000=$A12)*(Working_Data!$B$2:$B$2000=YEAR(T$5))*(Working_Data!$C$2:$C$2000=TEXT(T$5,"mmmm")),0),MATCH($B12,Working_Data!$D$1:$AD$1,0))</f>
        <v>166.9</v>
      </c>
      <c r="U12" s="185" cm="1">
        <f t="array" ref="U12">INDEX(Working_Data!$D$2:$AD$2000,MATCH(1,(Working_Data!$A$2:$A$2000=$A12)*(Working_Data!$B$2:$B$2000=YEAR(U$5))*(Working_Data!$C$2:$C$2000=TEXT(U$5,"mmmm")),0),MATCH($B12,Working_Data!$D$1:$AD$1,0))</f>
        <v>166.2</v>
      </c>
      <c r="V12" s="185" cm="1">
        <f t="array" ref="V12">INDEX(Working_Data!$D$2:$AD$2000,MATCH(1,(Working_Data!$A$2:$A$2000=$A12)*(Working_Data!$B$2:$B$2000=YEAR(V$5))*(Working_Data!$C$2:$C$2000=TEXT(V$5,"mmmm")),0),MATCH($B12,Working_Data!$D$1:$AD$1,0))</f>
        <v>174.9</v>
      </c>
      <c r="W12" s="185" cm="1">
        <f t="array" ref="W12">INDEX(Working_Data!$D$2:$AD$2000,MATCH(1,(Working_Data!$A$2:$A$2000=$A12)*(Working_Data!$B$2:$B$2000=YEAR(W$5))*(Working_Data!$C$2:$C$2000=TEXT(W$5,"mmmm")),0),MATCH($B12,Working_Data!$D$1:$AD$1,0))</f>
        <v>182.3</v>
      </c>
      <c r="X12" s="185" cm="1">
        <f t="array" ref="X12">INDEX(Working_Data!$D$2:$AD$2000,MATCH(1,(Working_Data!$A$2:$A$2000=$A12)*(Working_Data!$B$2:$B$2000=YEAR(X$5))*(Working_Data!$C$2:$C$2000=TEXT(X$5,"mmmm")),0),MATCH($B12,Working_Data!$D$1:$AD$1,0))</f>
        <v>182.1</v>
      </c>
      <c r="Y12" s="185" cm="1">
        <f t="array" ref="Y12">INDEX(Working_Data!$D$2:$AD$2000,MATCH(1,(Working_Data!$A$2:$A$2000=$A12)*(Working_Data!$B$2:$B$2000=YEAR(Y$5))*(Working_Data!$C$2:$C$2000=TEXT(Y$5,"mmmm")),0),MATCH($B12,Working_Data!$D$1:$AD$1,0))</f>
        <v>186.7</v>
      </c>
      <c r="Z12" s="185" cm="1">
        <f t="array" ref="Z12">INDEX(Working_Data!$D$2:$AD$2000,MATCH(1,(Working_Data!$A$2:$A$2000=$A12)*(Working_Data!$B$2:$B$2000=YEAR(Z$5))*(Working_Data!$C$2:$C$2000=TEXT(Z$5,"mmmm")),0),MATCH($B12,Working_Data!$D$1:$AD$1,0))</f>
        <v>191.8</v>
      </c>
      <c r="AA12" s="185" cm="1">
        <f t="array" ref="AA12">INDEX(Working_Data!$D$2:$AD$2000,MATCH(1,(Working_Data!$A$2:$A$2000=$A12)*(Working_Data!$B$2:$B$2000=YEAR(AA$5))*(Working_Data!$C$2:$C$2000=TEXT(AA$5,"mmmm")),0),MATCH($B12,Working_Data!$D$1:$AD$1,0))</f>
        <v>199.7</v>
      </c>
      <c r="AB12" s="185" cm="1">
        <f t="array" ref="AB12">INDEX(Working_Data!$D$2:$AD$2000,MATCH(1,(Working_Data!$A$2:$A$2000=$A12)*(Working_Data!$B$2:$B$2000=YEAR(AB$5))*(Working_Data!$C$2:$C$2000=TEXT(AB$5,"mmmm")),0),MATCH($B12,Working_Data!$D$1:$AD$1,0))</f>
        <v>183.1</v>
      </c>
      <c r="AC12" s="185" cm="1">
        <f t="array" ref="AC12">INDEX(Working_Data!$D$2:$AD$2000,MATCH(1,(Working_Data!$A$2:$A$2000=$A12)*(Working_Data!$B$2:$B$2000=YEAR(AC$5))*(Working_Data!$C$2:$C$2000=TEXT(AC$5,"mmmm")),0),MATCH($B12,Working_Data!$D$1:$AD$1,0))</f>
        <v>159.9</v>
      </c>
      <c r="AD12" s="185" cm="1">
        <f t="array" ref="AD12">INDEX(Working_Data!$D$2:$AD$2000,MATCH(1,(Working_Data!$A$2:$A$2000=$A12)*(Working_Data!$B$2:$B$2000=YEAR(AD$5))*(Working_Data!$C$2:$C$2000=TEXT(AD$5,"mmmm")),0),MATCH($B12,Working_Data!$D$1:$AD$1,0))</f>
        <v>153.9</v>
      </c>
      <c r="AE12" s="185" cm="1">
        <f t="array" ref="AE12">INDEX(Working_Data!$D$2:$AD$2000,MATCH(1,(Working_Data!$A$2:$A$2000=$A12)*(Working_Data!$B$2:$B$2000=YEAR(AE$5))*(Working_Data!$C$2:$C$2000=TEXT(AE$5,"mmmm")),0),MATCH($B12,Working_Data!$D$1:$AD$1,0))</f>
        <v>152.69999999999999</v>
      </c>
      <c r="AF12" s="185" cm="1">
        <f t="array" ref="AF12">INDEX(Working_Data!$D$2:$AD$2000,MATCH(1,(Working_Data!$A$2:$A$2000=$A12)*(Working_Data!$B$2:$B$2000=YEAR(AF$5))*(Working_Data!$C$2:$C$2000=TEXT(AF$5,"mmmm")),0),MATCH($B12,Working_Data!$D$1:$AD$1,0))</f>
        <v>152.80000000000001</v>
      </c>
      <c r="AG12" s="185" cm="1">
        <f t="array" ref="AG12">INDEX(Working_Data!$D$2:$AD$2000,MATCH(1,(Working_Data!$A$2:$A$2000=$A12)*(Working_Data!$B$2:$B$2000=YEAR(AG$5))*(Working_Data!$C$2:$C$2000=TEXT(AG$5,"mmmm")),0),MATCH($B12,Working_Data!$D$1:$AD$1,0))</f>
        <v>155.4</v>
      </c>
      <c r="AH12" s="185" cm="1">
        <f t="array" ref="AH12">INDEX(Working_Data!$D$2:$AD$2000,MATCH(1,(Working_Data!$A$2:$A$2000=$A12)*(Working_Data!$B$2:$B$2000=YEAR(AH$5))*(Working_Data!$C$2:$C$2000=TEXT(AH$5,"mmmm")),0),MATCH($B12,Working_Data!$D$1:$AD$1,0))</f>
        <v>161</v>
      </c>
      <c r="AI12" s="185" t="s">
        <v>47</v>
      </c>
      <c r="AJ12" s="185" t="s">
        <v>47</v>
      </c>
      <c r="AK12" s="185" t="s">
        <v>47</v>
      </c>
      <c r="AL12" s="185" t="s">
        <v>47</v>
      </c>
      <c r="AM12" s="185" t="s">
        <v>47</v>
      </c>
      <c r="AN12" s="185" t="s">
        <v>47</v>
      </c>
      <c r="AO12" s="186" t="s">
        <v>47</v>
      </c>
    </row>
    <row r="13" spans="1:41" s="181" customFormat="1" x14ac:dyDescent="0.3">
      <c r="A13" s="182" t="s">
        <v>34</v>
      </c>
      <c r="B13" s="183" t="s">
        <v>10</v>
      </c>
      <c r="C13" s="183" t="str">
        <f>_xlfn.XLOOKUP(B13,CPI_Category_Mapping[Category],CPI_Category_Mapping[New Food Category])</f>
        <v>Food</v>
      </c>
      <c r="D13" s="184">
        <f>CORREL(F13:AH13,'Crude Oil Price'!$B$5:$B$33)</f>
        <v>0.17606973464104739</v>
      </c>
      <c r="E13" s="185" cm="1">
        <f t="array" ref="E13">INDEX(Working_Data!$D$2:$AD$2000,MATCH(1,(Working_Data!$A$2:$A$2000=$A13)*(Working_Data!$B$2:$B$2000=YEAR(E$5))*(Working_Data!$C$2:$C$2000=TEXT(E$5,"mmmm")),0),MATCH($B13,Working_Data!$D$1:$AD$1,0))</f>
        <v>160.19999999999999</v>
      </c>
      <c r="F13" s="185" cm="1">
        <f t="array" ref="F13">INDEX(Working_Data!$D$2:$AD$2000,MATCH(1,(Working_Data!$A$2:$A$2000=$A13)*(Working_Data!$B$2:$B$2000=YEAR(F$5))*(Working_Data!$C$2:$C$2000=TEXT(F$5,"mmmm")),0),MATCH($B13,Working_Data!$D$1:$AD$1,0))</f>
        <v>160.4</v>
      </c>
      <c r="G13" s="185" cm="1">
        <f t="array" ref="G13">INDEX(Working_Data!$D$2:$AD$2000,MATCH(1,(Working_Data!$A$2:$A$2000=$A13)*(Working_Data!$B$2:$B$2000=YEAR(G$5))*(Working_Data!$C$2:$C$2000=TEXT(G$5,"mmmm")),0),MATCH($B13,Working_Data!$D$1:$AD$1,0))</f>
        <v>158.80000000000001</v>
      </c>
      <c r="H13" s="185" cm="1">
        <f t="array" ref="H13">INDEX(Working_Data!$D$2:$AD$2000,MATCH(1,(Working_Data!$A$2:$A$2000=$A13)*(Working_Data!$B$2:$B$2000=YEAR(H$5))*(Working_Data!$C$2:$C$2000=TEXT(H$5,"mmmm")),0),MATCH($B13,Working_Data!$D$1:$AD$1,0))</f>
        <v>159.80000000000001</v>
      </c>
      <c r="I13" s="185" cm="1">
        <f t="array" ref="I13">INDEX(Working_Data!$D$2:$AD$2000,MATCH(1,(Working_Data!$A$2:$A$2000=$A13)*(Working_Data!$B$2:$B$2000=YEAR(I$5))*(Working_Data!$C$2:$C$2000=TEXT(I$5,"mmmm")),0),MATCH($B13,Working_Data!$D$1:$AD$1,0))</f>
        <v>161.69999999999999</v>
      </c>
      <c r="J13" s="185" cm="1">
        <f t="array" ref="J13">INDEX(Working_Data!$D$2:$AD$2000,MATCH(1,(Working_Data!$A$2:$A$2000=$A13)*(Working_Data!$B$2:$B$2000=YEAR(J$5))*(Working_Data!$C$2:$C$2000=TEXT(J$5,"mmmm")),0),MATCH($B13,Working_Data!$D$1:$AD$1,0))</f>
        <v>165.4</v>
      </c>
      <c r="K13" s="185" cm="1">
        <f t="array" ref="K13">INDEX(Working_Data!$D$2:$AD$2000,MATCH(1,(Working_Data!$A$2:$A$2000=$A13)*(Working_Data!$B$2:$B$2000=YEAR(K$5))*(Working_Data!$C$2:$C$2000=TEXT(K$5,"mmmm")),0),MATCH($B13,Working_Data!$D$1:$AD$1,0))</f>
        <v>166</v>
      </c>
      <c r="L13" s="185" cm="1">
        <f t="array" ref="L13">INDEX(Working_Data!$D$2:$AD$2000,MATCH(1,(Working_Data!$A$2:$A$2000=$A13)*(Working_Data!$B$2:$B$2000=YEAR(L$5))*(Working_Data!$C$2:$C$2000=TEXT(L$5,"mmmm")),0),MATCH($B13,Working_Data!$D$1:$AD$1,0))</f>
        <v>164</v>
      </c>
      <c r="M13" s="185" cm="1">
        <f t="array" ref="M13">INDEX(Working_Data!$D$2:$AD$2000,MATCH(1,(Working_Data!$A$2:$A$2000=$A13)*(Working_Data!$B$2:$B$2000=YEAR(M$5))*(Working_Data!$C$2:$C$2000=TEXT(M$5,"mmmm")),0),MATCH($B13,Working_Data!$D$1:$AD$1,0))</f>
        <v>164.1</v>
      </c>
      <c r="N13" s="185" cm="1">
        <f t="array" ref="N13">INDEX(Working_Data!$D$2:$AD$2000,MATCH(1,(Working_Data!$A$2:$A$2000=$A13)*(Working_Data!$B$2:$B$2000=YEAR(N$5))*(Working_Data!$C$2:$C$2000=TEXT(N$5,"mmmm")),0),MATCH($B13,Working_Data!$D$1:$AD$1,0))</f>
        <v>164.1</v>
      </c>
      <c r="O13" s="185" cm="1">
        <f t="array" ref="O13">INDEX(Working_Data!$D$2:$AD$2000,MATCH(1,(Working_Data!$A$2:$A$2000=$A13)*(Working_Data!$B$2:$B$2000=YEAR(O$5))*(Working_Data!$C$2:$C$2000=TEXT(O$5,"mmmm")),0),MATCH($B13,Working_Data!$D$1:$AD$1,0))</f>
        <v>165.2</v>
      </c>
      <c r="P13" s="185" cm="1">
        <f t="array" ref="P13">INDEX(Working_Data!$D$2:$AD$2000,MATCH(1,(Working_Data!$A$2:$A$2000=$A13)*(Working_Data!$B$2:$B$2000=YEAR(P$5))*(Working_Data!$C$2:$C$2000=TEXT(P$5,"mmmm")),0),MATCH($B13,Working_Data!$D$1:$AD$1,0))</f>
        <v>165.3</v>
      </c>
      <c r="Q13" s="185" cm="1">
        <f t="array" ref="Q13">INDEX(Working_Data!$D$2:$AD$2000,MATCH(1,(Working_Data!$A$2:$A$2000=$A13)*(Working_Data!$B$2:$B$2000=YEAR(Q$5))*(Working_Data!$C$2:$C$2000=TEXT(Q$5,"mmmm")),0),MATCH($B13,Working_Data!$D$1:$AD$1,0))</f>
        <v>164.4</v>
      </c>
      <c r="R13" s="185" cm="1">
        <f t="array" ref="R13">INDEX(Working_Data!$D$2:$AD$2000,MATCH(1,(Working_Data!$A$2:$A$2000=$A13)*(Working_Data!$B$2:$B$2000=YEAR(R$5))*(Working_Data!$C$2:$C$2000=TEXT(R$5,"mmmm")),0),MATCH($B13,Working_Data!$D$1:$AD$1,0))</f>
        <v>163.9</v>
      </c>
      <c r="S13" s="185" cm="1">
        <f t="array" ref="S13">INDEX(Working_Data!$D$2:$AD$2000,MATCH(1,(Working_Data!$A$2:$A$2000=$A13)*(Working_Data!$B$2:$B$2000=YEAR(S$5))*(Working_Data!$C$2:$C$2000=TEXT(S$5,"mmmm")),0),MATCH($B13,Working_Data!$D$1:$AD$1,0))</f>
        <v>163.69999999999999</v>
      </c>
      <c r="T13" s="185" cm="1">
        <f t="array" ref="T13">INDEX(Working_Data!$D$2:$AD$2000,MATCH(1,(Working_Data!$A$2:$A$2000=$A13)*(Working_Data!$B$2:$B$2000=YEAR(T$5))*(Working_Data!$C$2:$C$2000=TEXT(T$5,"mmmm")),0),MATCH($B13,Working_Data!$D$1:$AD$1,0))</f>
        <v>163.9</v>
      </c>
      <c r="U13" s="185" cm="1">
        <f t="array" ref="U13">INDEX(Working_Data!$D$2:$AD$2000,MATCH(1,(Working_Data!$A$2:$A$2000=$A13)*(Working_Data!$B$2:$B$2000=YEAR(U$5))*(Working_Data!$C$2:$C$2000=TEXT(U$5,"mmmm")),0),MATCH($B13,Working_Data!$D$1:$AD$1,0))</f>
        <v>164.7</v>
      </c>
      <c r="V13" s="185" cm="1">
        <f t="array" ref="V13">INDEX(Working_Data!$D$2:$AD$2000,MATCH(1,(Working_Data!$A$2:$A$2000=$A13)*(Working_Data!$B$2:$B$2000=YEAR(V$5))*(Working_Data!$C$2:$C$2000=TEXT(V$5,"mmmm")),0),MATCH($B13,Working_Data!$D$1:$AD$1,0))</f>
        <v>164.7</v>
      </c>
      <c r="W13" s="185" cm="1">
        <f t="array" ref="W13">INDEX(Working_Data!$D$2:$AD$2000,MATCH(1,(Working_Data!$A$2:$A$2000=$A13)*(Working_Data!$B$2:$B$2000=YEAR(W$5))*(Working_Data!$C$2:$C$2000=TEXT(W$5,"mmmm")),0),MATCH($B13,Working_Data!$D$1:$AD$1,0))</f>
        <v>164.3</v>
      </c>
      <c r="X13" s="185" cm="1">
        <f t="array" ref="X13">INDEX(Working_Data!$D$2:$AD$2000,MATCH(1,(Working_Data!$A$2:$A$2000=$A13)*(Working_Data!$B$2:$B$2000=YEAR(X$5))*(Working_Data!$C$2:$C$2000=TEXT(X$5,"mmmm")),0),MATCH($B13,Working_Data!$D$1:$AD$1,0))</f>
        <v>164.3</v>
      </c>
      <c r="Y13" s="185" cm="1">
        <f t="array" ref="Y13">INDEX(Working_Data!$D$2:$AD$2000,MATCH(1,(Working_Data!$A$2:$A$2000=$A13)*(Working_Data!$B$2:$B$2000=YEAR(Y$5))*(Working_Data!$C$2:$C$2000=TEXT(Y$5,"mmmm")),0),MATCH($B13,Working_Data!$D$1:$AD$1,0))</f>
        <v>167.2</v>
      </c>
      <c r="Z13" s="185" cm="1">
        <f t="array" ref="Z13">INDEX(Working_Data!$D$2:$AD$2000,MATCH(1,(Working_Data!$A$2:$A$2000=$A13)*(Working_Data!$B$2:$B$2000=YEAR(Z$5))*(Working_Data!$C$2:$C$2000=TEXT(Z$5,"mmmm")),0),MATCH($B13,Working_Data!$D$1:$AD$1,0))</f>
        <v>169.1</v>
      </c>
      <c r="AA13" s="185" cm="1">
        <f t="array" ref="AA13">INDEX(Working_Data!$D$2:$AD$2000,MATCH(1,(Working_Data!$A$2:$A$2000=$A13)*(Working_Data!$B$2:$B$2000=YEAR(AA$5))*(Working_Data!$C$2:$C$2000=TEXT(AA$5,"mmmm")),0),MATCH($B13,Working_Data!$D$1:$AD$1,0))</f>
        <v>169.8</v>
      </c>
      <c r="AB13" s="185" cm="1">
        <f t="array" ref="AB13">INDEX(Working_Data!$D$2:$AD$2000,MATCH(1,(Working_Data!$A$2:$A$2000=$A13)*(Working_Data!$B$2:$B$2000=YEAR(AB$5))*(Working_Data!$C$2:$C$2000=TEXT(AB$5,"mmmm")),0),MATCH($B13,Working_Data!$D$1:$AD$1,0))</f>
        <v>170.5</v>
      </c>
      <c r="AC13" s="185" cm="1">
        <f t="array" ref="AC13">INDEX(Working_Data!$D$2:$AD$2000,MATCH(1,(Working_Data!$A$2:$A$2000=$A13)*(Working_Data!$B$2:$B$2000=YEAR(AC$5))*(Working_Data!$C$2:$C$2000=TEXT(AC$5,"mmmm")),0),MATCH($B13,Working_Data!$D$1:$AD$1,0))</f>
        <v>170.8</v>
      </c>
      <c r="AD13" s="185" cm="1">
        <f t="array" ref="AD13">INDEX(Working_Data!$D$2:$AD$2000,MATCH(1,(Working_Data!$A$2:$A$2000=$A13)*(Working_Data!$B$2:$B$2000=YEAR(AD$5))*(Working_Data!$C$2:$C$2000=TEXT(AD$5,"mmmm")),0),MATCH($B13,Working_Data!$D$1:$AD$1,0))</f>
        <v>170.9</v>
      </c>
      <c r="AE13" s="185" cm="1">
        <f t="array" ref="AE13">INDEX(Working_Data!$D$2:$AD$2000,MATCH(1,(Working_Data!$A$2:$A$2000=$A13)*(Working_Data!$B$2:$B$2000=YEAR(AE$5))*(Working_Data!$C$2:$C$2000=TEXT(AE$5,"mmmm")),0),MATCH($B13,Working_Data!$D$1:$AD$1,0))</f>
        <v>171</v>
      </c>
      <c r="AF13" s="185" cm="1">
        <f t="array" ref="AF13">INDEX(Working_Data!$D$2:$AD$2000,MATCH(1,(Working_Data!$A$2:$A$2000=$A13)*(Working_Data!$B$2:$B$2000=YEAR(AF$5))*(Working_Data!$C$2:$C$2000=TEXT(AF$5,"mmmm")),0),MATCH($B13,Working_Data!$D$1:$AD$1,0))</f>
        <v>171.1</v>
      </c>
      <c r="AG13" s="185" cm="1">
        <f t="array" ref="AG13">INDEX(Working_Data!$D$2:$AD$2000,MATCH(1,(Working_Data!$A$2:$A$2000=$A13)*(Working_Data!$B$2:$B$2000=YEAR(AG$5))*(Working_Data!$C$2:$C$2000=TEXT(AG$5,"mmmm")),0),MATCH($B13,Working_Data!$D$1:$AD$1,0))</f>
        <v>173.4</v>
      </c>
      <c r="AH13" s="185" cm="1">
        <f t="array" ref="AH13">INDEX(Working_Data!$D$2:$AD$2000,MATCH(1,(Working_Data!$A$2:$A$2000=$A13)*(Working_Data!$B$2:$B$2000=YEAR(AH$5))*(Working_Data!$C$2:$C$2000=TEXT(AH$5,"mmmm")),0),MATCH($B13,Working_Data!$D$1:$AD$1,0))</f>
        <v>175.6</v>
      </c>
      <c r="AI13" s="185" t="s">
        <v>47</v>
      </c>
      <c r="AJ13" s="185" t="s">
        <v>47</v>
      </c>
      <c r="AK13" s="185" t="s">
        <v>47</v>
      </c>
      <c r="AL13" s="185" t="s">
        <v>47</v>
      </c>
      <c r="AM13" s="185" t="s">
        <v>47</v>
      </c>
      <c r="AN13" s="185" t="s">
        <v>47</v>
      </c>
      <c r="AO13" s="186" t="s">
        <v>47</v>
      </c>
    </row>
    <row r="14" spans="1:41" s="181" customFormat="1" ht="28.8" x14ac:dyDescent="0.3">
      <c r="A14" s="182" t="s">
        <v>34</v>
      </c>
      <c r="B14" s="183" t="s">
        <v>11</v>
      </c>
      <c r="C14" s="183" t="str">
        <f>_xlfn.XLOOKUP(B14,CPI_Category_Mapping[Category],CPI_Category_Mapping[New Food Category])</f>
        <v>Food</v>
      </c>
      <c r="D14" s="184">
        <f>CORREL(F14:AH14,'Crude Oil Price'!$B$5:$B$33)</f>
        <v>0.50195772227056057</v>
      </c>
      <c r="E14" s="185" cm="1">
        <f t="array" ref="E14">INDEX(Working_Data!$D$2:$AD$2000,MATCH(1,(Working_Data!$A$2:$A$2000=$A14)*(Working_Data!$B$2:$B$2000=YEAR(E$5))*(Working_Data!$C$2:$C$2000=TEXT(E$5,"mmmm")),0),MATCH($B14,Working_Data!$D$1:$AD$1,0))</f>
        <v>115.3</v>
      </c>
      <c r="F14" s="185" cm="1">
        <f t="array" ref="F14">INDEX(Working_Data!$D$2:$AD$2000,MATCH(1,(Working_Data!$A$2:$A$2000=$A14)*(Working_Data!$B$2:$B$2000=YEAR(F$5))*(Working_Data!$C$2:$C$2000=TEXT(F$5,"mmmm")),0),MATCH($B14,Working_Data!$D$1:$AD$1,0))</f>
        <v>114.6</v>
      </c>
      <c r="G14" s="185" cm="1">
        <f t="array" ref="G14">INDEX(Working_Data!$D$2:$AD$2000,MATCH(1,(Working_Data!$A$2:$A$2000=$A14)*(Working_Data!$B$2:$B$2000=YEAR(G$5))*(Working_Data!$C$2:$C$2000=TEXT(G$5,"mmmm")),0),MATCH($B14,Working_Data!$D$1:$AD$1,0))</f>
        <v>112.8</v>
      </c>
      <c r="H14" s="185" cm="1">
        <f t="array" ref="H14">INDEX(Working_Data!$D$2:$AD$2000,MATCH(1,(Working_Data!$A$2:$A$2000=$A14)*(Working_Data!$B$2:$B$2000=YEAR(H$5))*(Working_Data!$C$2:$C$2000=TEXT(H$5,"mmmm")),0),MATCH($B14,Working_Data!$D$1:$AD$1,0))</f>
        <v>112.6</v>
      </c>
      <c r="I14" s="185" cm="1">
        <f t="array" ref="I14">INDEX(Working_Data!$D$2:$AD$2000,MATCH(1,(Working_Data!$A$2:$A$2000=$A14)*(Working_Data!$B$2:$B$2000=YEAR(I$5))*(Working_Data!$C$2:$C$2000=TEXT(I$5,"mmmm")),0),MATCH($B14,Working_Data!$D$1:$AD$1,0))</f>
        <v>113.1</v>
      </c>
      <c r="J14" s="185" cm="1">
        <f t="array" ref="J14">INDEX(Working_Data!$D$2:$AD$2000,MATCH(1,(Working_Data!$A$2:$A$2000=$A14)*(Working_Data!$B$2:$B$2000=YEAR(J$5))*(Working_Data!$C$2:$C$2000=TEXT(J$5,"mmmm")),0),MATCH($B14,Working_Data!$D$1:$AD$1,0))</f>
        <v>114.8</v>
      </c>
      <c r="K14" s="185" cm="1">
        <f t="array" ref="K14">INDEX(Working_Data!$D$2:$AD$2000,MATCH(1,(Working_Data!$A$2:$A$2000=$A14)*(Working_Data!$B$2:$B$2000=YEAR(K$5))*(Working_Data!$C$2:$C$2000=TEXT(K$5,"mmmm")),0),MATCH($B14,Working_Data!$D$1:$AD$1,0))</f>
        <v>115.1</v>
      </c>
      <c r="L14" s="185" cm="1">
        <f t="array" ref="L14">INDEX(Working_Data!$D$2:$AD$2000,MATCH(1,(Working_Data!$A$2:$A$2000=$A14)*(Working_Data!$B$2:$B$2000=YEAR(L$5))*(Working_Data!$C$2:$C$2000=TEXT(L$5,"mmmm")),0),MATCH($B14,Working_Data!$D$1:$AD$1,0))</f>
        <v>114.5</v>
      </c>
      <c r="M14" s="185" cm="1">
        <f t="array" ref="M14">INDEX(Working_Data!$D$2:$AD$2000,MATCH(1,(Working_Data!$A$2:$A$2000=$A14)*(Working_Data!$B$2:$B$2000=YEAR(M$5))*(Working_Data!$C$2:$C$2000=TEXT(M$5,"mmmm")),0),MATCH($B14,Working_Data!$D$1:$AD$1,0))</f>
        <v>119.7</v>
      </c>
      <c r="N14" s="185" cm="1">
        <f t="array" ref="N14">INDEX(Working_Data!$D$2:$AD$2000,MATCH(1,(Working_Data!$A$2:$A$2000=$A14)*(Working_Data!$B$2:$B$2000=YEAR(N$5))*(Working_Data!$C$2:$C$2000=TEXT(N$5,"mmmm")),0),MATCH($B14,Working_Data!$D$1:$AD$1,0))</f>
        <v>119.7</v>
      </c>
      <c r="O14" s="185" cm="1">
        <f t="array" ref="O14">INDEX(Working_Data!$D$2:$AD$2000,MATCH(1,(Working_Data!$A$2:$A$2000=$A14)*(Working_Data!$B$2:$B$2000=YEAR(O$5))*(Working_Data!$C$2:$C$2000=TEXT(O$5,"mmmm")),0),MATCH($B14,Working_Data!$D$1:$AD$1,0))</f>
        <v>121.9</v>
      </c>
      <c r="P14" s="185" cm="1">
        <f t="array" ref="P14">INDEX(Working_Data!$D$2:$AD$2000,MATCH(1,(Working_Data!$A$2:$A$2000=$A14)*(Working_Data!$B$2:$B$2000=YEAR(P$5))*(Working_Data!$C$2:$C$2000=TEXT(P$5,"mmmm")),0),MATCH($B14,Working_Data!$D$1:$AD$1,0))</f>
        <v>122.4</v>
      </c>
      <c r="Q14" s="185" cm="1">
        <f t="array" ref="Q14">INDEX(Working_Data!$D$2:$AD$2000,MATCH(1,(Working_Data!$A$2:$A$2000=$A14)*(Working_Data!$B$2:$B$2000=YEAR(Q$5))*(Working_Data!$C$2:$C$2000=TEXT(Q$5,"mmmm")),0),MATCH($B14,Working_Data!$D$1:$AD$1,0))</f>
        <v>121</v>
      </c>
      <c r="R14" s="185" cm="1">
        <f t="array" ref="R14">INDEX(Working_Data!$D$2:$AD$2000,MATCH(1,(Working_Data!$A$2:$A$2000=$A14)*(Working_Data!$B$2:$B$2000=YEAR(R$5))*(Working_Data!$C$2:$C$2000=TEXT(R$5,"mmmm")),0),MATCH($B14,Working_Data!$D$1:$AD$1,0))</f>
        <v>120</v>
      </c>
      <c r="S14" s="185" cm="1">
        <f t="array" ref="S14">INDEX(Working_Data!$D$2:$AD$2000,MATCH(1,(Working_Data!$A$2:$A$2000=$A14)*(Working_Data!$B$2:$B$2000=YEAR(S$5))*(Working_Data!$C$2:$C$2000=TEXT(S$5,"mmmm")),0),MATCH($B14,Working_Data!$D$1:$AD$1,0))</f>
        <v>118.9</v>
      </c>
      <c r="T14" s="185" cm="1">
        <f t="array" ref="T14">INDEX(Working_Data!$D$2:$AD$2000,MATCH(1,(Working_Data!$A$2:$A$2000=$A14)*(Working_Data!$B$2:$B$2000=YEAR(T$5))*(Working_Data!$C$2:$C$2000=TEXT(T$5,"mmmm")),0),MATCH($B14,Working_Data!$D$1:$AD$1,0))</f>
        <v>118.8</v>
      </c>
      <c r="U14" s="185" cm="1">
        <f t="array" ref="U14">INDEX(Working_Data!$D$2:$AD$2000,MATCH(1,(Working_Data!$A$2:$A$2000=$A14)*(Working_Data!$B$2:$B$2000=YEAR(U$5))*(Working_Data!$C$2:$C$2000=TEXT(U$5,"mmmm")),0),MATCH($B14,Working_Data!$D$1:$AD$1,0))</f>
        <v>119</v>
      </c>
      <c r="V14" s="185" cm="1">
        <f t="array" ref="V14">INDEX(Working_Data!$D$2:$AD$2000,MATCH(1,(Working_Data!$A$2:$A$2000=$A14)*(Working_Data!$B$2:$B$2000=YEAR(V$5))*(Working_Data!$C$2:$C$2000=TEXT(V$5,"mmmm")),0),MATCH($B14,Working_Data!$D$1:$AD$1,0))</f>
        <v>119.7</v>
      </c>
      <c r="W14" s="185" cm="1">
        <f t="array" ref="W14">INDEX(Working_Data!$D$2:$AD$2000,MATCH(1,(Working_Data!$A$2:$A$2000=$A14)*(Working_Data!$B$2:$B$2000=YEAR(W$5))*(Working_Data!$C$2:$C$2000=TEXT(W$5,"mmmm")),0),MATCH($B14,Working_Data!$D$1:$AD$1,0))</f>
        <v>119.9</v>
      </c>
      <c r="X14" s="185" cm="1">
        <f t="array" ref="X14">INDEX(Working_Data!$D$2:$AD$2000,MATCH(1,(Working_Data!$A$2:$A$2000=$A14)*(Working_Data!$B$2:$B$2000=YEAR(X$5))*(Working_Data!$C$2:$C$2000=TEXT(X$5,"mmmm")),0),MATCH($B14,Working_Data!$D$1:$AD$1,0))</f>
        <v>120</v>
      </c>
      <c r="Y14" s="185" cm="1">
        <f t="array" ref="Y14">INDEX(Working_Data!$D$2:$AD$2000,MATCH(1,(Working_Data!$A$2:$A$2000=$A14)*(Working_Data!$B$2:$B$2000=YEAR(Y$5))*(Working_Data!$C$2:$C$2000=TEXT(Y$5,"mmmm")),0),MATCH($B14,Working_Data!$D$1:$AD$1,0))</f>
        <v>120.9</v>
      </c>
      <c r="Z14" s="185" cm="1">
        <f t="array" ref="Z14">INDEX(Working_Data!$D$2:$AD$2000,MATCH(1,(Working_Data!$A$2:$A$2000=$A14)*(Working_Data!$B$2:$B$2000=YEAR(Z$5))*(Working_Data!$C$2:$C$2000=TEXT(Z$5,"mmmm")),0),MATCH($B14,Working_Data!$D$1:$AD$1,0))</f>
        <v>121.6</v>
      </c>
      <c r="AA14" s="185" cm="1">
        <f t="array" ref="AA14">INDEX(Working_Data!$D$2:$AD$2000,MATCH(1,(Working_Data!$A$2:$A$2000=$A14)*(Working_Data!$B$2:$B$2000=YEAR(AA$5))*(Working_Data!$C$2:$C$2000=TEXT(AA$5,"mmmm")),0),MATCH($B14,Working_Data!$D$1:$AD$1,0))</f>
        <v>121.9</v>
      </c>
      <c r="AB14" s="185" cm="1">
        <f t="array" ref="AB14">INDEX(Working_Data!$D$2:$AD$2000,MATCH(1,(Working_Data!$A$2:$A$2000=$A14)*(Working_Data!$B$2:$B$2000=YEAR(AB$5))*(Working_Data!$C$2:$C$2000=TEXT(AB$5,"mmmm")),0),MATCH($B14,Working_Data!$D$1:$AD$1,0))</f>
        <v>122.1</v>
      </c>
      <c r="AC14" s="185" cm="1">
        <f t="array" ref="AC14">INDEX(Working_Data!$D$2:$AD$2000,MATCH(1,(Working_Data!$A$2:$A$2000=$A14)*(Working_Data!$B$2:$B$2000=YEAR(AC$5))*(Working_Data!$C$2:$C$2000=TEXT(AC$5,"mmmm")),0),MATCH($B14,Working_Data!$D$1:$AD$1,0))</f>
        <v>121.8</v>
      </c>
      <c r="AD14" s="185" cm="1">
        <f t="array" ref="AD14">INDEX(Working_Data!$D$2:$AD$2000,MATCH(1,(Working_Data!$A$2:$A$2000=$A14)*(Working_Data!$B$2:$B$2000=YEAR(AD$5))*(Working_Data!$C$2:$C$2000=TEXT(AD$5,"mmmm")),0),MATCH($B14,Working_Data!$D$1:$AD$1,0))</f>
        <v>121.1</v>
      </c>
      <c r="AE14" s="185" cm="1">
        <f t="array" ref="AE14">INDEX(Working_Data!$D$2:$AD$2000,MATCH(1,(Working_Data!$A$2:$A$2000=$A14)*(Working_Data!$B$2:$B$2000=YEAR(AE$5))*(Working_Data!$C$2:$C$2000=TEXT(AE$5,"mmmm")),0),MATCH($B14,Working_Data!$D$1:$AD$1,0))</f>
        <v>120</v>
      </c>
      <c r="AF14" s="185" cm="1">
        <f t="array" ref="AF14">INDEX(Working_Data!$D$2:$AD$2000,MATCH(1,(Working_Data!$A$2:$A$2000=$A14)*(Working_Data!$B$2:$B$2000=YEAR(AF$5))*(Working_Data!$C$2:$C$2000=TEXT(AF$5,"mmmm")),0),MATCH($B14,Working_Data!$D$1:$AD$1,0))</f>
        <v>120</v>
      </c>
      <c r="AG14" s="185" cm="1">
        <f t="array" ref="AG14">INDEX(Working_Data!$D$2:$AD$2000,MATCH(1,(Working_Data!$A$2:$A$2000=$A14)*(Working_Data!$B$2:$B$2000=YEAR(AG$5))*(Working_Data!$C$2:$C$2000=TEXT(AG$5,"mmmm")),0),MATCH($B14,Working_Data!$D$1:$AD$1,0))</f>
        <v>121.3</v>
      </c>
      <c r="AH14" s="185" cm="1">
        <f t="array" ref="AH14">INDEX(Working_Data!$D$2:$AD$2000,MATCH(1,(Working_Data!$A$2:$A$2000=$A14)*(Working_Data!$B$2:$B$2000=YEAR(AH$5))*(Working_Data!$C$2:$C$2000=TEXT(AH$5,"mmmm")),0),MATCH($B14,Working_Data!$D$1:$AD$1,0))</f>
        <v>122.7</v>
      </c>
      <c r="AI14" s="185" t="s">
        <v>47</v>
      </c>
      <c r="AJ14" s="185" t="s">
        <v>47</v>
      </c>
      <c r="AK14" s="185" t="s">
        <v>47</v>
      </c>
      <c r="AL14" s="185" t="s">
        <v>47</v>
      </c>
      <c r="AM14" s="185" t="s">
        <v>47</v>
      </c>
      <c r="AN14" s="185" t="s">
        <v>47</v>
      </c>
      <c r="AO14" s="186" t="s">
        <v>47</v>
      </c>
    </row>
    <row r="15" spans="1:41" s="181" customFormat="1" x14ac:dyDescent="0.3">
      <c r="A15" s="182" t="s">
        <v>34</v>
      </c>
      <c r="B15" s="183" t="s">
        <v>12</v>
      </c>
      <c r="C15" s="183" t="str">
        <f>_xlfn.XLOOKUP(B15,CPI_Category_Mapping[Category],CPI_Category_Mapping[New Food Category])</f>
        <v>Food</v>
      </c>
      <c r="D15" s="184">
        <f>CORREL(F15:AH15,'Crude Oil Price'!$B$5:$B$33)</f>
        <v>0.33675352313769485</v>
      </c>
      <c r="E15" s="185" cm="1">
        <f t="array" ref="E15">INDEX(Working_Data!$D$2:$AD$2000,MATCH(1,(Working_Data!$A$2:$A$2000=$A15)*(Working_Data!$B$2:$B$2000=YEAR(E$5))*(Working_Data!$C$2:$C$2000=TEXT(E$5,"mmmm")),0),MATCH($B15,Working_Data!$D$1:$AD$1,0))</f>
        <v>163</v>
      </c>
      <c r="F15" s="185" cm="1">
        <f t="array" ref="F15">INDEX(Working_Data!$D$2:$AD$2000,MATCH(1,(Working_Data!$A$2:$A$2000=$A15)*(Working_Data!$B$2:$B$2000=YEAR(F$5))*(Working_Data!$C$2:$C$2000=TEXT(F$5,"mmmm")),0),MATCH($B15,Working_Data!$D$1:$AD$1,0))</f>
        <v>164</v>
      </c>
      <c r="G15" s="185" cm="1">
        <f t="array" ref="G15">INDEX(Working_Data!$D$2:$AD$2000,MATCH(1,(Working_Data!$A$2:$A$2000=$A15)*(Working_Data!$B$2:$B$2000=YEAR(G$5))*(Working_Data!$C$2:$C$2000=TEXT(G$5,"mmmm")),0),MATCH($B15,Working_Data!$D$1:$AD$1,0))</f>
        <v>164.2</v>
      </c>
      <c r="H15" s="185" cm="1">
        <f t="array" ref="H15">INDEX(Working_Data!$D$2:$AD$2000,MATCH(1,(Working_Data!$A$2:$A$2000=$A15)*(Working_Data!$B$2:$B$2000=YEAR(H$5))*(Working_Data!$C$2:$C$2000=TEXT(H$5,"mmmm")),0),MATCH($B15,Working_Data!$D$1:$AD$1,0))</f>
        <v>163.5</v>
      </c>
      <c r="I15" s="185" cm="1">
        <f t="array" ref="I15">INDEX(Working_Data!$D$2:$AD$2000,MATCH(1,(Working_Data!$A$2:$A$2000=$A15)*(Working_Data!$B$2:$B$2000=YEAR(I$5))*(Working_Data!$C$2:$C$2000=TEXT(I$5,"mmmm")),0),MATCH($B15,Working_Data!$D$1:$AD$1,0))</f>
        <v>163.9</v>
      </c>
      <c r="J15" s="185" cm="1">
        <f t="array" ref="J15">INDEX(Working_Data!$D$2:$AD$2000,MATCH(1,(Working_Data!$A$2:$A$2000=$A15)*(Working_Data!$B$2:$B$2000=YEAR(J$5))*(Working_Data!$C$2:$C$2000=TEXT(J$5,"mmmm")),0),MATCH($B15,Working_Data!$D$1:$AD$1,0))</f>
        <v>168.2</v>
      </c>
      <c r="K15" s="185" cm="1">
        <f t="array" ref="K15">INDEX(Working_Data!$D$2:$AD$2000,MATCH(1,(Working_Data!$A$2:$A$2000=$A15)*(Working_Data!$B$2:$B$2000=YEAR(K$5))*(Working_Data!$C$2:$C$2000=TEXT(K$5,"mmmm")),0),MATCH($B15,Working_Data!$D$1:$AD$1,0))</f>
        <v>168.5</v>
      </c>
      <c r="L15" s="185" cm="1">
        <f t="array" ref="L15">INDEX(Working_Data!$D$2:$AD$2000,MATCH(1,(Working_Data!$A$2:$A$2000=$A15)*(Working_Data!$B$2:$B$2000=YEAR(L$5))*(Working_Data!$C$2:$C$2000=TEXT(L$5,"mmmm")),0),MATCH($B15,Working_Data!$D$1:$AD$1,0))</f>
        <v>168.3</v>
      </c>
      <c r="M15" s="185" cm="1">
        <f t="array" ref="M15">INDEX(Working_Data!$D$2:$AD$2000,MATCH(1,(Working_Data!$A$2:$A$2000=$A15)*(Working_Data!$B$2:$B$2000=YEAR(M$5))*(Working_Data!$C$2:$C$2000=TEXT(M$5,"mmmm")),0),MATCH($B15,Working_Data!$D$1:$AD$1,0))</f>
        <v>168.8</v>
      </c>
      <c r="N15" s="185" cm="1">
        <f t="array" ref="N15">INDEX(Working_Data!$D$2:$AD$2000,MATCH(1,(Working_Data!$A$2:$A$2000=$A15)*(Working_Data!$B$2:$B$2000=YEAR(N$5))*(Working_Data!$C$2:$C$2000=TEXT(N$5,"mmmm")),0),MATCH($B15,Working_Data!$D$1:$AD$1,0))</f>
        <v>168.8</v>
      </c>
      <c r="O15" s="185" cm="1">
        <f t="array" ref="O15">INDEX(Working_Data!$D$2:$AD$2000,MATCH(1,(Working_Data!$A$2:$A$2000=$A15)*(Working_Data!$B$2:$B$2000=YEAR(O$5))*(Working_Data!$C$2:$C$2000=TEXT(O$5,"mmmm")),0),MATCH($B15,Working_Data!$D$1:$AD$1,0))</f>
        <v>169.3</v>
      </c>
      <c r="P15" s="185" cm="1">
        <f t="array" ref="P15">INDEX(Working_Data!$D$2:$AD$2000,MATCH(1,(Working_Data!$A$2:$A$2000=$A15)*(Working_Data!$B$2:$B$2000=YEAR(P$5))*(Working_Data!$C$2:$C$2000=TEXT(P$5,"mmmm")),0),MATCH($B15,Working_Data!$D$1:$AD$1,0))</f>
        <v>169.6</v>
      </c>
      <c r="Q15" s="185" cm="1">
        <f t="array" ref="Q15">INDEX(Working_Data!$D$2:$AD$2000,MATCH(1,(Working_Data!$A$2:$A$2000=$A15)*(Working_Data!$B$2:$B$2000=YEAR(Q$5))*(Working_Data!$C$2:$C$2000=TEXT(Q$5,"mmmm")),0),MATCH($B15,Working_Data!$D$1:$AD$1,0))</f>
        <v>170.5</v>
      </c>
      <c r="R15" s="185" cm="1">
        <f t="array" ref="R15">INDEX(Working_Data!$D$2:$AD$2000,MATCH(1,(Working_Data!$A$2:$A$2000=$A15)*(Working_Data!$B$2:$B$2000=YEAR(R$5))*(Working_Data!$C$2:$C$2000=TEXT(R$5,"mmmm")),0),MATCH($B15,Working_Data!$D$1:$AD$1,0))</f>
        <v>172.1</v>
      </c>
      <c r="S15" s="185" cm="1">
        <f t="array" ref="S15">INDEX(Working_Data!$D$2:$AD$2000,MATCH(1,(Working_Data!$A$2:$A$2000=$A15)*(Working_Data!$B$2:$B$2000=YEAR(S$5))*(Working_Data!$C$2:$C$2000=TEXT(S$5,"mmmm")),0),MATCH($B15,Working_Data!$D$1:$AD$1,0))</f>
        <v>174.3</v>
      </c>
      <c r="T15" s="185" cm="1">
        <f t="array" ref="T15">INDEX(Working_Data!$D$2:$AD$2000,MATCH(1,(Working_Data!$A$2:$A$2000=$A15)*(Working_Data!$B$2:$B$2000=YEAR(T$5))*(Working_Data!$C$2:$C$2000=TEXT(T$5,"mmmm")),0),MATCH($B15,Working_Data!$D$1:$AD$1,0))</f>
        <v>177.4</v>
      </c>
      <c r="U15" s="185" cm="1">
        <f t="array" ref="U15">INDEX(Working_Data!$D$2:$AD$2000,MATCH(1,(Working_Data!$A$2:$A$2000=$A15)*(Working_Data!$B$2:$B$2000=YEAR(U$5))*(Working_Data!$C$2:$C$2000=TEXT(U$5,"mmmm")),0),MATCH($B15,Working_Data!$D$1:$AD$1,0))</f>
        <v>181.3</v>
      </c>
      <c r="V15" s="185" cm="1">
        <f t="array" ref="V15">INDEX(Working_Data!$D$2:$AD$2000,MATCH(1,(Working_Data!$A$2:$A$2000=$A15)*(Working_Data!$B$2:$B$2000=YEAR(V$5))*(Working_Data!$C$2:$C$2000=TEXT(V$5,"mmmm")),0),MATCH($B15,Working_Data!$D$1:$AD$1,0))</f>
        <v>184.9</v>
      </c>
      <c r="W15" s="185" cm="1">
        <f t="array" ref="W15">INDEX(Working_Data!$D$2:$AD$2000,MATCH(1,(Working_Data!$A$2:$A$2000=$A15)*(Working_Data!$B$2:$B$2000=YEAR(W$5))*(Working_Data!$C$2:$C$2000=TEXT(W$5,"mmmm")),0),MATCH($B15,Working_Data!$D$1:$AD$1,0))</f>
        <v>187.1</v>
      </c>
      <c r="X15" s="185" cm="1">
        <f t="array" ref="X15">INDEX(Working_Data!$D$2:$AD$2000,MATCH(1,(Working_Data!$A$2:$A$2000=$A15)*(Working_Data!$B$2:$B$2000=YEAR(X$5))*(Working_Data!$C$2:$C$2000=TEXT(X$5,"mmmm")),0),MATCH($B15,Working_Data!$D$1:$AD$1,0))</f>
        <v>190</v>
      </c>
      <c r="Y15" s="185" cm="1">
        <f t="array" ref="Y15">INDEX(Working_Data!$D$2:$AD$2000,MATCH(1,(Working_Data!$A$2:$A$2000=$A15)*(Working_Data!$B$2:$B$2000=YEAR(Y$5))*(Working_Data!$C$2:$C$2000=TEXT(Y$5,"mmmm")),0),MATCH($B15,Working_Data!$D$1:$AD$1,0))</f>
        <v>193.6</v>
      </c>
      <c r="Z15" s="185" cm="1">
        <f t="array" ref="Z15">INDEX(Working_Data!$D$2:$AD$2000,MATCH(1,(Working_Data!$A$2:$A$2000=$A15)*(Working_Data!$B$2:$B$2000=YEAR(Z$5))*(Working_Data!$C$2:$C$2000=TEXT(Z$5,"mmmm")),0),MATCH($B15,Working_Data!$D$1:$AD$1,0))</f>
        <v>197.3</v>
      </c>
      <c r="AA15" s="185" cm="1">
        <f t="array" ref="AA15">INDEX(Working_Data!$D$2:$AD$2000,MATCH(1,(Working_Data!$A$2:$A$2000=$A15)*(Working_Data!$B$2:$B$2000=YEAR(AA$5))*(Working_Data!$C$2:$C$2000=TEXT(AA$5,"mmmm")),0),MATCH($B15,Working_Data!$D$1:$AD$1,0))</f>
        <v>199.9</v>
      </c>
      <c r="AB15" s="185" cm="1">
        <f t="array" ref="AB15">INDEX(Working_Data!$D$2:$AD$2000,MATCH(1,(Working_Data!$A$2:$A$2000=$A15)*(Working_Data!$B$2:$B$2000=YEAR(AB$5))*(Working_Data!$C$2:$C$2000=TEXT(AB$5,"mmmm")),0),MATCH($B15,Working_Data!$D$1:$AD$1,0))</f>
        <v>202.8</v>
      </c>
      <c r="AC15" s="185" cm="1">
        <f t="array" ref="AC15">INDEX(Working_Data!$D$2:$AD$2000,MATCH(1,(Working_Data!$A$2:$A$2000=$A15)*(Working_Data!$B$2:$B$2000=YEAR(AC$5))*(Working_Data!$C$2:$C$2000=TEXT(AC$5,"mmmm")),0),MATCH($B15,Working_Data!$D$1:$AD$1,0))</f>
        <v>205.2</v>
      </c>
      <c r="AD15" s="185" cm="1">
        <f t="array" ref="AD15">INDEX(Working_Data!$D$2:$AD$2000,MATCH(1,(Working_Data!$A$2:$A$2000=$A15)*(Working_Data!$B$2:$B$2000=YEAR(AD$5))*(Working_Data!$C$2:$C$2000=TEXT(AD$5,"mmmm")),0),MATCH($B15,Working_Data!$D$1:$AD$1,0))</f>
        <v>208.4</v>
      </c>
      <c r="AE15" s="185" cm="1">
        <f t="array" ref="AE15">INDEX(Working_Data!$D$2:$AD$2000,MATCH(1,(Working_Data!$A$2:$A$2000=$A15)*(Working_Data!$B$2:$B$2000=YEAR(AE$5))*(Working_Data!$C$2:$C$2000=TEXT(AE$5,"mmmm")),0),MATCH($B15,Working_Data!$D$1:$AD$1,0))</f>
        <v>209.7</v>
      </c>
      <c r="AF15" s="185" cm="1">
        <f t="array" ref="AF15">INDEX(Working_Data!$D$2:$AD$2000,MATCH(1,(Working_Data!$A$2:$A$2000=$A15)*(Working_Data!$B$2:$B$2000=YEAR(AF$5))*(Working_Data!$C$2:$C$2000=TEXT(AF$5,"mmmm")),0),MATCH($B15,Working_Data!$D$1:$AD$1,0))</f>
        <v>209.7</v>
      </c>
      <c r="AG15" s="185" cm="1">
        <f t="array" ref="AG15">INDEX(Working_Data!$D$2:$AD$2000,MATCH(1,(Working_Data!$A$2:$A$2000=$A15)*(Working_Data!$B$2:$B$2000=YEAR(AG$5))*(Working_Data!$C$2:$C$2000=TEXT(AG$5,"mmmm")),0),MATCH($B15,Working_Data!$D$1:$AD$1,0))</f>
        <v>212.9</v>
      </c>
      <c r="AH15" s="185" cm="1">
        <f t="array" ref="AH15">INDEX(Working_Data!$D$2:$AD$2000,MATCH(1,(Working_Data!$A$2:$A$2000=$A15)*(Working_Data!$B$2:$B$2000=YEAR(AH$5))*(Working_Data!$C$2:$C$2000=TEXT(AH$5,"mmmm")),0),MATCH($B15,Working_Data!$D$1:$AD$1,0))</f>
        <v>218</v>
      </c>
      <c r="AI15" s="185" t="s">
        <v>47</v>
      </c>
      <c r="AJ15" s="185" t="s">
        <v>47</v>
      </c>
      <c r="AK15" s="185" t="s">
        <v>47</v>
      </c>
      <c r="AL15" s="185" t="s">
        <v>47</v>
      </c>
      <c r="AM15" s="185" t="s">
        <v>47</v>
      </c>
      <c r="AN15" s="185" t="s">
        <v>47</v>
      </c>
      <c r="AO15" s="186" t="s">
        <v>47</v>
      </c>
    </row>
    <row r="16" spans="1:41" s="181" customFormat="1" ht="28.8" x14ac:dyDescent="0.3">
      <c r="A16" s="182" t="s">
        <v>34</v>
      </c>
      <c r="B16" s="183" t="s">
        <v>13</v>
      </c>
      <c r="C16" s="183" t="str">
        <f>_xlfn.XLOOKUP(B16,CPI_Category_Mapping[Category],CPI_Category_Mapping[New Food Category])</f>
        <v>Food</v>
      </c>
      <c r="D16" s="184">
        <f>CORREL(F16:AH16,'Crude Oil Price'!$B$5:$B$33)</f>
        <v>0.55440614749546446</v>
      </c>
      <c r="E16" s="185" cm="1">
        <f t="array" ref="E16">INDEX(Working_Data!$D$2:$AD$2000,MATCH(1,(Working_Data!$A$2:$A$2000=$A16)*(Working_Data!$B$2:$B$2000=YEAR(E$5))*(Working_Data!$C$2:$C$2000=TEXT(E$5,"mmmm")),0),MATCH($B16,Working_Data!$D$1:$AD$1,0))</f>
        <v>149.19999999999999</v>
      </c>
      <c r="F16" s="185" cm="1">
        <f t="array" ref="F16">INDEX(Working_Data!$D$2:$AD$2000,MATCH(1,(Working_Data!$A$2:$A$2000=$A16)*(Working_Data!$B$2:$B$2000=YEAR(F$5))*(Working_Data!$C$2:$C$2000=TEXT(F$5,"mmmm")),0),MATCH($B16,Working_Data!$D$1:$AD$1,0))</f>
        <v>151.80000000000001</v>
      </c>
      <c r="G16" s="185" cm="1">
        <f t="array" ref="G16">INDEX(Working_Data!$D$2:$AD$2000,MATCH(1,(Working_Data!$A$2:$A$2000=$A16)*(Working_Data!$B$2:$B$2000=YEAR(G$5))*(Working_Data!$C$2:$C$2000=TEXT(G$5,"mmmm")),0),MATCH($B16,Working_Data!$D$1:$AD$1,0))</f>
        <v>155.5</v>
      </c>
      <c r="H16" s="185" cm="1">
        <f t="array" ref="H16">INDEX(Working_Data!$D$2:$AD$2000,MATCH(1,(Working_Data!$A$2:$A$2000=$A16)*(Working_Data!$B$2:$B$2000=YEAR(H$5))*(Working_Data!$C$2:$C$2000=TEXT(H$5,"mmmm")),0),MATCH($B16,Working_Data!$D$1:$AD$1,0))</f>
        <v>156.5</v>
      </c>
      <c r="I16" s="185" cm="1">
        <f t="array" ref="I16">INDEX(Working_Data!$D$2:$AD$2000,MATCH(1,(Working_Data!$A$2:$A$2000=$A16)*(Working_Data!$B$2:$B$2000=YEAR(I$5))*(Working_Data!$C$2:$C$2000=TEXT(I$5,"mmmm")),0),MATCH($B16,Working_Data!$D$1:$AD$1,0))</f>
        <v>157.6</v>
      </c>
      <c r="J16" s="185" cm="1">
        <f t="array" ref="J16">INDEX(Working_Data!$D$2:$AD$2000,MATCH(1,(Working_Data!$A$2:$A$2000=$A16)*(Working_Data!$B$2:$B$2000=YEAR(J$5))*(Working_Data!$C$2:$C$2000=TEXT(J$5,"mmmm")),0),MATCH($B16,Working_Data!$D$1:$AD$1,0))</f>
        <v>159.30000000000001</v>
      </c>
      <c r="K16" s="185" cm="1">
        <f t="array" ref="K16">INDEX(Working_Data!$D$2:$AD$2000,MATCH(1,(Working_Data!$A$2:$A$2000=$A16)*(Working_Data!$B$2:$B$2000=YEAR(K$5))*(Working_Data!$C$2:$C$2000=TEXT(K$5,"mmmm")),0),MATCH($B16,Working_Data!$D$1:$AD$1,0))</f>
        <v>160</v>
      </c>
      <c r="L16" s="185" cm="1">
        <f t="array" ref="L16">INDEX(Working_Data!$D$2:$AD$2000,MATCH(1,(Working_Data!$A$2:$A$2000=$A16)*(Working_Data!$B$2:$B$2000=YEAR(L$5))*(Working_Data!$C$2:$C$2000=TEXT(L$5,"mmmm")),0),MATCH($B16,Working_Data!$D$1:$AD$1,0))</f>
        <v>160.9</v>
      </c>
      <c r="M16" s="185" cm="1">
        <f t="array" ref="M16">INDEX(Working_Data!$D$2:$AD$2000,MATCH(1,(Working_Data!$A$2:$A$2000=$A16)*(Working_Data!$B$2:$B$2000=YEAR(M$5))*(Working_Data!$C$2:$C$2000=TEXT(M$5,"mmmm")),0),MATCH($B16,Working_Data!$D$1:$AD$1,0))</f>
        <v>162.69999999999999</v>
      </c>
      <c r="N16" s="185" cm="1">
        <f t="array" ref="N16">INDEX(Working_Data!$D$2:$AD$2000,MATCH(1,(Working_Data!$A$2:$A$2000=$A16)*(Working_Data!$B$2:$B$2000=YEAR(N$5))*(Working_Data!$C$2:$C$2000=TEXT(N$5,"mmmm")),0),MATCH($B16,Working_Data!$D$1:$AD$1,0))</f>
        <v>162.69999999999999</v>
      </c>
      <c r="O16" s="185" cm="1">
        <f t="array" ref="O16">INDEX(Working_Data!$D$2:$AD$2000,MATCH(1,(Working_Data!$A$2:$A$2000=$A16)*(Working_Data!$B$2:$B$2000=YEAR(O$5))*(Working_Data!$C$2:$C$2000=TEXT(O$5,"mmmm")),0),MATCH($B16,Working_Data!$D$1:$AD$1,0))</f>
        <v>163.19999999999999</v>
      </c>
      <c r="P16" s="185" cm="1">
        <f t="array" ref="P16">INDEX(Working_Data!$D$2:$AD$2000,MATCH(1,(Working_Data!$A$2:$A$2000=$A16)*(Working_Data!$B$2:$B$2000=YEAR(P$5))*(Working_Data!$C$2:$C$2000=TEXT(P$5,"mmmm")),0),MATCH($B16,Working_Data!$D$1:$AD$1,0))</f>
        <v>163.69999999999999</v>
      </c>
      <c r="Q16" s="185" cm="1">
        <f t="array" ref="Q16">INDEX(Working_Data!$D$2:$AD$2000,MATCH(1,(Working_Data!$A$2:$A$2000=$A16)*(Working_Data!$B$2:$B$2000=YEAR(Q$5))*(Working_Data!$C$2:$C$2000=TEXT(Q$5,"mmmm")),0),MATCH($B16,Working_Data!$D$1:$AD$1,0))</f>
        <v>164.2</v>
      </c>
      <c r="R16" s="185" cm="1">
        <f t="array" ref="R16">INDEX(Working_Data!$D$2:$AD$2000,MATCH(1,(Working_Data!$A$2:$A$2000=$A16)*(Working_Data!$B$2:$B$2000=YEAR(R$5))*(Working_Data!$C$2:$C$2000=TEXT(R$5,"mmmm")),0),MATCH($B16,Working_Data!$D$1:$AD$1,0))</f>
        <v>164.3</v>
      </c>
      <c r="S16" s="185" cm="1">
        <f t="array" ref="S16">INDEX(Working_Data!$D$2:$AD$2000,MATCH(1,(Working_Data!$A$2:$A$2000=$A16)*(Working_Data!$B$2:$B$2000=YEAR(S$5))*(Working_Data!$C$2:$C$2000=TEXT(S$5,"mmmm")),0),MATCH($B16,Working_Data!$D$1:$AD$1,0))</f>
        <v>164.7</v>
      </c>
      <c r="T16" s="185" cm="1">
        <f t="array" ref="T16">INDEX(Working_Data!$D$2:$AD$2000,MATCH(1,(Working_Data!$A$2:$A$2000=$A16)*(Working_Data!$B$2:$B$2000=YEAR(T$5))*(Working_Data!$C$2:$C$2000=TEXT(T$5,"mmmm")),0),MATCH($B16,Working_Data!$D$1:$AD$1,0))</f>
        <v>165.3</v>
      </c>
      <c r="U16" s="185" cm="1">
        <f t="array" ref="U16">INDEX(Working_Data!$D$2:$AD$2000,MATCH(1,(Working_Data!$A$2:$A$2000=$A16)*(Working_Data!$B$2:$B$2000=YEAR(U$5))*(Working_Data!$C$2:$C$2000=TEXT(U$5,"mmmm")),0),MATCH($B16,Working_Data!$D$1:$AD$1,0))</f>
        <v>166.2</v>
      </c>
      <c r="V16" s="185" cm="1">
        <f t="array" ref="V16">INDEX(Working_Data!$D$2:$AD$2000,MATCH(1,(Working_Data!$A$2:$A$2000=$A16)*(Working_Data!$B$2:$B$2000=YEAR(V$5))*(Working_Data!$C$2:$C$2000=TEXT(V$5,"mmmm")),0),MATCH($B16,Working_Data!$D$1:$AD$1,0))</f>
        <v>167.1</v>
      </c>
      <c r="W16" s="185" cm="1">
        <f t="array" ref="W16">INDEX(Working_Data!$D$2:$AD$2000,MATCH(1,(Working_Data!$A$2:$A$2000=$A16)*(Working_Data!$B$2:$B$2000=YEAR(W$5))*(Working_Data!$C$2:$C$2000=TEXT(W$5,"mmmm")),0),MATCH($B16,Working_Data!$D$1:$AD$1,0))</f>
        <v>167.9</v>
      </c>
      <c r="X16" s="185" cm="1">
        <f t="array" ref="X16">INDEX(Working_Data!$D$2:$AD$2000,MATCH(1,(Working_Data!$A$2:$A$2000=$A16)*(Working_Data!$B$2:$B$2000=YEAR(X$5))*(Working_Data!$C$2:$C$2000=TEXT(X$5,"mmmm")),0),MATCH($B16,Working_Data!$D$1:$AD$1,0))</f>
        <v>168.4</v>
      </c>
      <c r="Y16" s="185" cm="1">
        <f t="array" ref="Y16">INDEX(Working_Data!$D$2:$AD$2000,MATCH(1,(Working_Data!$A$2:$A$2000=$A16)*(Working_Data!$B$2:$B$2000=YEAR(Y$5))*(Working_Data!$C$2:$C$2000=TEXT(Y$5,"mmmm")),0),MATCH($B16,Working_Data!$D$1:$AD$1,0))</f>
        <v>168.8</v>
      </c>
      <c r="Z16" s="185" cm="1">
        <f t="array" ref="Z16">INDEX(Working_Data!$D$2:$AD$2000,MATCH(1,(Working_Data!$A$2:$A$2000=$A16)*(Working_Data!$B$2:$B$2000=YEAR(Z$5))*(Working_Data!$C$2:$C$2000=TEXT(Z$5,"mmmm")),0),MATCH($B16,Working_Data!$D$1:$AD$1,0))</f>
        <v>169.4</v>
      </c>
      <c r="AA16" s="185" cm="1">
        <f t="array" ref="AA16">INDEX(Working_Data!$D$2:$AD$2000,MATCH(1,(Working_Data!$A$2:$A$2000=$A16)*(Working_Data!$B$2:$B$2000=YEAR(AA$5))*(Working_Data!$C$2:$C$2000=TEXT(AA$5,"mmmm")),0),MATCH($B16,Working_Data!$D$1:$AD$1,0))</f>
        <v>169.9</v>
      </c>
      <c r="AB16" s="185" cm="1">
        <f t="array" ref="AB16">INDEX(Working_Data!$D$2:$AD$2000,MATCH(1,(Working_Data!$A$2:$A$2000=$A16)*(Working_Data!$B$2:$B$2000=YEAR(AB$5))*(Working_Data!$C$2:$C$2000=TEXT(AB$5,"mmmm")),0),MATCH($B16,Working_Data!$D$1:$AD$1,0))</f>
        <v>170.4</v>
      </c>
      <c r="AC16" s="185" cm="1">
        <f t="array" ref="AC16">INDEX(Working_Data!$D$2:$AD$2000,MATCH(1,(Working_Data!$A$2:$A$2000=$A16)*(Working_Data!$B$2:$B$2000=YEAR(AC$5))*(Working_Data!$C$2:$C$2000=TEXT(AC$5,"mmmm")),0),MATCH($B16,Working_Data!$D$1:$AD$1,0))</f>
        <v>171</v>
      </c>
      <c r="AD16" s="185" cm="1">
        <f t="array" ref="AD16">INDEX(Working_Data!$D$2:$AD$2000,MATCH(1,(Working_Data!$A$2:$A$2000=$A16)*(Working_Data!$B$2:$B$2000=YEAR(AD$5))*(Working_Data!$C$2:$C$2000=TEXT(AD$5,"mmmm")),0),MATCH($B16,Working_Data!$D$1:$AD$1,0))</f>
        <v>171.4</v>
      </c>
      <c r="AE16" s="185" cm="1">
        <f t="array" ref="AE16">INDEX(Working_Data!$D$2:$AD$2000,MATCH(1,(Working_Data!$A$2:$A$2000=$A16)*(Working_Data!$B$2:$B$2000=YEAR(AE$5))*(Working_Data!$C$2:$C$2000=TEXT(AE$5,"mmmm")),0),MATCH($B16,Working_Data!$D$1:$AD$1,0))</f>
        <v>172.3</v>
      </c>
      <c r="AF16" s="185" cm="1">
        <f t="array" ref="AF16">INDEX(Working_Data!$D$2:$AD$2000,MATCH(1,(Working_Data!$A$2:$A$2000=$A16)*(Working_Data!$B$2:$B$2000=YEAR(AF$5))*(Working_Data!$C$2:$C$2000=TEXT(AF$5,"mmmm")),0),MATCH($B16,Working_Data!$D$1:$AD$1,0))</f>
        <v>172.3</v>
      </c>
      <c r="AG16" s="185" cm="1">
        <f t="array" ref="AG16">INDEX(Working_Data!$D$2:$AD$2000,MATCH(1,(Working_Data!$A$2:$A$2000=$A16)*(Working_Data!$B$2:$B$2000=YEAR(AG$5))*(Working_Data!$C$2:$C$2000=TEXT(AG$5,"mmmm")),0),MATCH($B16,Working_Data!$D$1:$AD$1,0))</f>
        <v>172.9</v>
      </c>
      <c r="AH16" s="185" cm="1">
        <f t="array" ref="AH16">INDEX(Working_Data!$D$2:$AD$2000,MATCH(1,(Working_Data!$A$2:$A$2000=$A16)*(Working_Data!$B$2:$B$2000=YEAR(AH$5))*(Working_Data!$C$2:$C$2000=TEXT(AH$5,"mmmm")),0),MATCH($B16,Working_Data!$D$1:$AD$1,0))</f>
        <v>173.4</v>
      </c>
      <c r="AI16" s="185" t="s">
        <v>47</v>
      </c>
      <c r="AJ16" s="185" t="s">
        <v>47</v>
      </c>
      <c r="AK16" s="185" t="s">
        <v>47</v>
      </c>
      <c r="AL16" s="185" t="s">
        <v>47</v>
      </c>
      <c r="AM16" s="185" t="s">
        <v>47</v>
      </c>
      <c r="AN16" s="185" t="s">
        <v>47</v>
      </c>
      <c r="AO16" s="186" t="s">
        <v>47</v>
      </c>
    </row>
    <row r="17" spans="1:41" s="181" customFormat="1" ht="28.8" x14ac:dyDescent="0.3">
      <c r="A17" s="182" t="s">
        <v>34</v>
      </c>
      <c r="B17" s="183" t="s">
        <v>14</v>
      </c>
      <c r="C17" s="183" t="str">
        <f>_xlfn.XLOOKUP(B17,CPI_Category_Mapping[Category],CPI_Category_Mapping[New Food Category])</f>
        <v>Luxury</v>
      </c>
      <c r="D17" s="184">
        <f>CORREL(F17:AH17,'Crude Oil Price'!$B$5:$B$33)</f>
        <v>0.48336179574796034</v>
      </c>
      <c r="E17" s="185" cm="1">
        <f t="array" ref="E17">INDEX(Working_Data!$D$2:$AD$2000,MATCH(1,(Working_Data!$A$2:$A$2000=$A17)*(Working_Data!$B$2:$B$2000=YEAR(E$5))*(Working_Data!$C$2:$C$2000=TEXT(E$5,"mmmm")),0),MATCH($B17,Working_Data!$D$1:$AD$1,0))</f>
        <v>164.8</v>
      </c>
      <c r="F17" s="185" cm="1">
        <f t="array" ref="F17">INDEX(Working_Data!$D$2:$AD$2000,MATCH(1,(Working_Data!$A$2:$A$2000=$A17)*(Working_Data!$B$2:$B$2000=YEAR(F$5))*(Working_Data!$C$2:$C$2000=TEXT(F$5,"mmmm")),0),MATCH($B17,Working_Data!$D$1:$AD$1,0))</f>
        <v>165.6</v>
      </c>
      <c r="G17" s="185" cm="1">
        <f t="array" ref="G17">INDEX(Working_Data!$D$2:$AD$2000,MATCH(1,(Working_Data!$A$2:$A$2000=$A17)*(Working_Data!$B$2:$B$2000=YEAR(G$5))*(Working_Data!$C$2:$C$2000=TEXT(G$5,"mmmm")),0),MATCH($B17,Working_Data!$D$1:$AD$1,0))</f>
        <v>167.5</v>
      </c>
      <c r="H17" s="185" cm="1">
        <f t="array" ref="H17">INDEX(Working_Data!$D$2:$AD$2000,MATCH(1,(Working_Data!$A$2:$A$2000=$A17)*(Working_Data!$B$2:$B$2000=YEAR(H$5))*(Working_Data!$C$2:$C$2000=TEXT(H$5,"mmmm")),0),MATCH($B17,Working_Data!$D$1:$AD$1,0))</f>
        <v>168.2</v>
      </c>
      <c r="I17" s="185" cm="1">
        <f t="array" ref="I17">INDEX(Working_Data!$D$2:$AD$2000,MATCH(1,(Working_Data!$A$2:$A$2000=$A17)*(Working_Data!$B$2:$B$2000=YEAR(I$5))*(Working_Data!$C$2:$C$2000=TEXT(I$5,"mmmm")),0),MATCH($B17,Working_Data!$D$1:$AD$1,0))</f>
        <v>168.9</v>
      </c>
      <c r="J17" s="185" cm="1">
        <f t="array" ref="J17">INDEX(Working_Data!$D$2:$AD$2000,MATCH(1,(Working_Data!$A$2:$A$2000=$A17)*(Working_Data!$B$2:$B$2000=YEAR(J$5))*(Working_Data!$C$2:$C$2000=TEXT(J$5,"mmmm")),0),MATCH($B17,Working_Data!$D$1:$AD$1,0))</f>
        <v>170.4</v>
      </c>
      <c r="K17" s="185" cm="1">
        <f t="array" ref="K17">INDEX(Working_Data!$D$2:$AD$2000,MATCH(1,(Working_Data!$A$2:$A$2000=$A17)*(Working_Data!$B$2:$B$2000=YEAR(K$5))*(Working_Data!$C$2:$C$2000=TEXT(K$5,"mmmm")),0),MATCH($B17,Working_Data!$D$1:$AD$1,0))</f>
        <v>172.4</v>
      </c>
      <c r="L17" s="185" cm="1">
        <f t="array" ref="L17">INDEX(Working_Data!$D$2:$AD$2000,MATCH(1,(Working_Data!$A$2:$A$2000=$A17)*(Working_Data!$B$2:$B$2000=YEAR(L$5))*(Working_Data!$C$2:$C$2000=TEXT(L$5,"mmmm")),0),MATCH($B17,Working_Data!$D$1:$AD$1,0))</f>
        <v>172.2</v>
      </c>
      <c r="M17" s="185" cm="1">
        <f t="array" ref="M17">INDEX(Working_Data!$D$2:$AD$2000,MATCH(1,(Working_Data!$A$2:$A$2000=$A17)*(Working_Data!$B$2:$B$2000=YEAR(M$5))*(Working_Data!$C$2:$C$2000=TEXT(M$5,"mmmm")),0),MATCH($B17,Working_Data!$D$1:$AD$1,0))</f>
        <v>173.9</v>
      </c>
      <c r="N17" s="185" cm="1">
        <f t="array" ref="N17">INDEX(Working_Data!$D$2:$AD$2000,MATCH(1,(Working_Data!$A$2:$A$2000=$A17)*(Working_Data!$B$2:$B$2000=YEAR(N$5))*(Working_Data!$C$2:$C$2000=TEXT(N$5,"mmmm")),0),MATCH($B17,Working_Data!$D$1:$AD$1,0))</f>
        <v>173.9</v>
      </c>
      <c r="O17" s="185" cm="1">
        <f t="array" ref="O17">INDEX(Working_Data!$D$2:$AD$2000,MATCH(1,(Working_Data!$A$2:$A$2000=$A17)*(Working_Data!$B$2:$B$2000=YEAR(O$5))*(Working_Data!$C$2:$C$2000=TEXT(O$5,"mmmm")),0),MATCH($B17,Working_Data!$D$1:$AD$1,0))</f>
        <v>174.7</v>
      </c>
      <c r="P17" s="185" cm="1">
        <f t="array" ref="P17">INDEX(Working_Data!$D$2:$AD$2000,MATCH(1,(Working_Data!$A$2:$A$2000=$A17)*(Working_Data!$B$2:$B$2000=YEAR(P$5))*(Working_Data!$C$2:$C$2000=TEXT(P$5,"mmmm")),0),MATCH($B17,Working_Data!$D$1:$AD$1,0))</f>
        <v>175.5</v>
      </c>
      <c r="Q17" s="185" cm="1">
        <f t="array" ref="Q17">INDEX(Working_Data!$D$2:$AD$2000,MATCH(1,(Working_Data!$A$2:$A$2000=$A17)*(Working_Data!$B$2:$B$2000=YEAR(Q$5))*(Working_Data!$C$2:$C$2000=TEXT(Q$5,"mmmm")),0),MATCH($B17,Working_Data!$D$1:$AD$1,0))</f>
        <v>176.5</v>
      </c>
      <c r="R17" s="185" cm="1">
        <f t="array" ref="R17">INDEX(Working_Data!$D$2:$AD$2000,MATCH(1,(Working_Data!$A$2:$A$2000=$A17)*(Working_Data!$B$2:$B$2000=YEAR(R$5))*(Working_Data!$C$2:$C$2000=TEXT(R$5,"mmmm")),0),MATCH($B17,Working_Data!$D$1:$AD$1,0))</f>
        <v>177.3</v>
      </c>
      <c r="S17" s="185" cm="1">
        <f t="array" ref="S17">INDEX(Working_Data!$D$2:$AD$2000,MATCH(1,(Working_Data!$A$2:$A$2000=$A17)*(Working_Data!$B$2:$B$2000=YEAR(S$5))*(Working_Data!$C$2:$C$2000=TEXT(S$5,"mmmm")),0),MATCH($B17,Working_Data!$D$1:$AD$1,0))</f>
        <v>178</v>
      </c>
      <c r="T17" s="185" cm="1">
        <f t="array" ref="T17">INDEX(Working_Data!$D$2:$AD$2000,MATCH(1,(Working_Data!$A$2:$A$2000=$A17)*(Working_Data!$B$2:$B$2000=YEAR(T$5))*(Working_Data!$C$2:$C$2000=TEXT(T$5,"mmmm")),0),MATCH($B17,Working_Data!$D$1:$AD$1,0))</f>
        <v>179.3</v>
      </c>
      <c r="U17" s="185" cm="1">
        <f t="array" ref="U17">INDEX(Working_Data!$D$2:$AD$2000,MATCH(1,(Working_Data!$A$2:$A$2000=$A17)*(Working_Data!$B$2:$B$2000=YEAR(U$5))*(Working_Data!$C$2:$C$2000=TEXT(U$5,"mmmm")),0),MATCH($B17,Working_Data!$D$1:$AD$1,0))</f>
        <v>180.9</v>
      </c>
      <c r="V17" s="185" cm="1">
        <f t="array" ref="V17">INDEX(Working_Data!$D$2:$AD$2000,MATCH(1,(Working_Data!$A$2:$A$2000=$A17)*(Working_Data!$B$2:$B$2000=YEAR(V$5))*(Working_Data!$C$2:$C$2000=TEXT(V$5,"mmmm")),0),MATCH($B17,Working_Data!$D$1:$AD$1,0))</f>
        <v>182.5</v>
      </c>
      <c r="W17" s="185" cm="1">
        <f t="array" ref="W17">INDEX(Working_Data!$D$2:$AD$2000,MATCH(1,(Working_Data!$A$2:$A$2000=$A17)*(Working_Data!$B$2:$B$2000=YEAR(W$5))*(Working_Data!$C$2:$C$2000=TEXT(W$5,"mmmm")),0),MATCH($B17,Working_Data!$D$1:$AD$1,0))</f>
        <v>183.9</v>
      </c>
      <c r="X17" s="185" cm="1">
        <f t="array" ref="X17">INDEX(Working_Data!$D$2:$AD$2000,MATCH(1,(Working_Data!$A$2:$A$2000=$A17)*(Working_Data!$B$2:$B$2000=YEAR(X$5))*(Working_Data!$C$2:$C$2000=TEXT(X$5,"mmmm")),0),MATCH($B17,Working_Data!$D$1:$AD$1,0))</f>
        <v>185.2</v>
      </c>
      <c r="Y17" s="185" cm="1">
        <f t="array" ref="Y17">INDEX(Working_Data!$D$2:$AD$2000,MATCH(1,(Working_Data!$A$2:$A$2000=$A17)*(Working_Data!$B$2:$B$2000=YEAR(Y$5))*(Working_Data!$C$2:$C$2000=TEXT(Y$5,"mmmm")),0),MATCH($B17,Working_Data!$D$1:$AD$1,0))</f>
        <v>186.3</v>
      </c>
      <c r="Z17" s="185" cm="1">
        <f t="array" ref="Z17">INDEX(Working_Data!$D$2:$AD$2000,MATCH(1,(Working_Data!$A$2:$A$2000=$A17)*(Working_Data!$B$2:$B$2000=YEAR(Z$5))*(Working_Data!$C$2:$C$2000=TEXT(Z$5,"mmmm")),0),MATCH($B17,Working_Data!$D$1:$AD$1,0))</f>
        <v>187.4</v>
      </c>
      <c r="AA17" s="185" cm="1">
        <f t="array" ref="AA17">INDEX(Working_Data!$D$2:$AD$2000,MATCH(1,(Working_Data!$A$2:$A$2000=$A17)*(Working_Data!$B$2:$B$2000=YEAR(AA$5))*(Working_Data!$C$2:$C$2000=TEXT(AA$5,"mmmm")),0),MATCH($B17,Working_Data!$D$1:$AD$1,0))</f>
        <v>188.3</v>
      </c>
      <c r="AB17" s="185" cm="1">
        <f t="array" ref="AB17">INDEX(Working_Data!$D$2:$AD$2000,MATCH(1,(Working_Data!$A$2:$A$2000=$A17)*(Working_Data!$B$2:$B$2000=YEAR(AB$5))*(Working_Data!$C$2:$C$2000=TEXT(AB$5,"mmmm")),0),MATCH($B17,Working_Data!$D$1:$AD$1,0))</f>
        <v>189.5</v>
      </c>
      <c r="AC17" s="185" cm="1">
        <f t="array" ref="AC17">INDEX(Working_Data!$D$2:$AD$2000,MATCH(1,(Working_Data!$A$2:$A$2000=$A17)*(Working_Data!$B$2:$B$2000=YEAR(AC$5))*(Working_Data!$C$2:$C$2000=TEXT(AC$5,"mmmm")),0),MATCH($B17,Working_Data!$D$1:$AD$1,0))</f>
        <v>190.3</v>
      </c>
      <c r="AD17" s="185" cm="1">
        <f t="array" ref="AD17">INDEX(Working_Data!$D$2:$AD$2000,MATCH(1,(Working_Data!$A$2:$A$2000=$A17)*(Working_Data!$B$2:$B$2000=YEAR(AD$5))*(Working_Data!$C$2:$C$2000=TEXT(AD$5,"mmmm")),0),MATCH($B17,Working_Data!$D$1:$AD$1,0))</f>
        <v>191.2</v>
      </c>
      <c r="AE17" s="185" cm="1">
        <f t="array" ref="AE17">INDEX(Working_Data!$D$2:$AD$2000,MATCH(1,(Working_Data!$A$2:$A$2000=$A17)*(Working_Data!$B$2:$B$2000=YEAR(AE$5))*(Working_Data!$C$2:$C$2000=TEXT(AE$5,"mmmm")),0),MATCH($B17,Working_Data!$D$1:$AD$1,0))</f>
        <v>193</v>
      </c>
      <c r="AF17" s="185" cm="1">
        <f t="array" ref="AF17">INDEX(Working_Data!$D$2:$AD$2000,MATCH(1,(Working_Data!$A$2:$A$2000=$A17)*(Working_Data!$B$2:$B$2000=YEAR(AF$5))*(Working_Data!$C$2:$C$2000=TEXT(AF$5,"mmmm")),0),MATCH($B17,Working_Data!$D$1:$AD$1,0))</f>
        <v>193</v>
      </c>
      <c r="AG17" s="185" cm="1">
        <f t="array" ref="AG17">INDEX(Working_Data!$D$2:$AD$2000,MATCH(1,(Working_Data!$A$2:$A$2000=$A17)*(Working_Data!$B$2:$B$2000=YEAR(AG$5))*(Working_Data!$C$2:$C$2000=TEXT(AG$5,"mmmm")),0),MATCH($B17,Working_Data!$D$1:$AD$1,0))</f>
        <v>193.5</v>
      </c>
      <c r="AH17" s="185" cm="1">
        <f t="array" ref="AH17">INDEX(Working_Data!$D$2:$AD$2000,MATCH(1,(Working_Data!$A$2:$A$2000=$A17)*(Working_Data!$B$2:$B$2000=YEAR(AH$5))*(Working_Data!$C$2:$C$2000=TEXT(AH$5,"mmmm")),0),MATCH($B17,Working_Data!$D$1:$AD$1,0))</f>
        <v>194.2</v>
      </c>
      <c r="AI17" s="185" t="s">
        <v>47</v>
      </c>
      <c r="AJ17" s="185" t="s">
        <v>47</v>
      </c>
      <c r="AK17" s="185" t="s">
        <v>47</v>
      </c>
      <c r="AL17" s="185" t="s">
        <v>47</v>
      </c>
      <c r="AM17" s="185" t="s">
        <v>47</v>
      </c>
      <c r="AN17" s="185" t="s">
        <v>47</v>
      </c>
      <c r="AO17" s="186" t="s">
        <v>47</v>
      </c>
    </row>
    <row r="18" spans="1:41" s="181" customFormat="1" x14ac:dyDescent="0.3">
      <c r="A18" s="182" t="s">
        <v>34</v>
      </c>
      <c r="B18" s="183" t="s">
        <v>15</v>
      </c>
      <c r="C18" s="183" t="str">
        <f>_xlfn.XLOOKUP(B18,CPI_Category_Mapping[Category],CPI_Category_Mapping[New Food Category])</f>
        <v>Food</v>
      </c>
      <c r="D18" s="184">
        <f>CORREL(F18:AH18,'Crude Oil Price'!$B$5:$B$33)</f>
        <v>0.57572796442993424</v>
      </c>
      <c r="E18" s="185" cm="1">
        <f t="array" ref="E18">INDEX(Working_Data!$D$2:$AD$2000,MATCH(1,(Working_Data!$A$2:$A$2000=$A18)*(Working_Data!$B$2:$B$2000=YEAR(E$5))*(Working_Data!$C$2:$C$2000=TEXT(E$5,"mmmm")),0),MATCH($B18,Working_Data!$D$1:$AD$1,0))</f>
        <v>165.4</v>
      </c>
      <c r="F18" s="185" cm="1">
        <f t="array" ref="F18">INDEX(Working_Data!$D$2:$AD$2000,MATCH(1,(Working_Data!$A$2:$A$2000=$A18)*(Working_Data!$B$2:$B$2000=YEAR(F$5))*(Working_Data!$C$2:$C$2000=TEXT(F$5,"mmmm")),0),MATCH($B18,Working_Data!$D$1:$AD$1,0))</f>
        <v>161</v>
      </c>
      <c r="G18" s="185" cm="1">
        <f t="array" ref="G18">INDEX(Working_Data!$D$2:$AD$2000,MATCH(1,(Working_Data!$A$2:$A$2000=$A18)*(Working_Data!$B$2:$B$2000=YEAR(G$5))*(Working_Data!$C$2:$C$2000=TEXT(G$5,"mmmm")),0),MATCH($B18,Working_Data!$D$1:$AD$1,0))</f>
        <v>156.9</v>
      </c>
      <c r="H18" s="185" cm="1">
        <f t="array" ref="H18">INDEX(Working_Data!$D$2:$AD$2000,MATCH(1,(Working_Data!$A$2:$A$2000=$A18)*(Working_Data!$B$2:$B$2000=YEAR(H$5))*(Working_Data!$C$2:$C$2000=TEXT(H$5,"mmmm")),0),MATCH($B18,Working_Data!$D$1:$AD$1,0))</f>
        <v>156.69999999999999</v>
      </c>
      <c r="I18" s="185" cm="1">
        <f t="array" ref="I18">INDEX(Working_Data!$D$2:$AD$2000,MATCH(1,(Working_Data!$A$2:$A$2000=$A18)*(Working_Data!$B$2:$B$2000=YEAR(I$5))*(Working_Data!$C$2:$C$2000=TEXT(I$5,"mmmm")),0),MATCH($B18,Working_Data!$D$1:$AD$1,0))</f>
        <v>158</v>
      </c>
      <c r="J18" s="185" cm="1">
        <f t="array" ref="J18">INDEX(Working_Data!$D$2:$AD$2000,MATCH(1,(Working_Data!$A$2:$A$2000=$A18)*(Working_Data!$B$2:$B$2000=YEAR(J$5))*(Working_Data!$C$2:$C$2000=TEXT(J$5,"mmmm")),0),MATCH($B18,Working_Data!$D$1:$AD$1,0))</f>
        <v>160.69999999999999</v>
      </c>
      <c r="K18" s="185" cm="1">
        <f t="array" ref="K18">INDEX(Working_Data!$D$2:$AD$2000,MATCH(1,(Working_Data!$A$2:$A$2000=$A18)*(Working_Data!$B$2:$B$2000=YEAR(K$5))*(Working_Data!$C$2:$C$2000=TEXT(K$5,"mmmm")),0),MATCH($B18,Working_Data!$D$1:$AD$1,0))</f>
        <v>162.6</v>
      </c>
      <c r="L18" s="185" cm="1">
        <f t="array" ref="L18">INDEX(Working_Data!$D$2:$AD$2000,MATCH(1,(Working_Data!$A$2:$A$2000=$A18)*(Working_Data!$B$2:$B$2000=YEAR(L$5))*(Working_Data!$C$2:$C$2000=TEXT(L$5,"mmmm")),0),MATCH($B18,Working_Data!$D$1:$AD$1,0))</f>
        <v>164</v>
      </c>
      <c r="M18" s="185" cm="1">
        <f t="array" ref="M18">INDEX(Working_Data!$D$2:$AD$2000,MATCH(1,(Working_Data!$A$2:$A$2000=$A18)*(Working_Data!$B$2:$B$2000=YEAR(M$5))*(Working_Data!$C$2:$C$2000=TEXT(M$5,"mmmm")),0),MATCH($B18,Working_Data!$D$1:$AD$1,0))</f>
        <v>164</v>
      </c>
      <c r="N18" s="185" cm="1">
        <f t="array" ref="N18">INDEX(Working_Data!$D$2:$AD$2000,MATCH(1,(Working_Data!$A$2:$A$2000=$A18)*(Working_Data!$B$2:$B$2000=YEAR(N$5))*(Working_Data!$C$2:$C$2000=TEXT(N$5,"mmmm")),0),MATCH($B18,Working_Data!$D$1:$AD$1,0))</f>
        <v>164</v>
      </c>
      <c r="O18" s="185" cm="1">
        <f t="array" ref="O18">INDEX(Working_Data!$D$2:$AD$2000,MATCH(1,(Working_Data!$A$2:$A$2000=$A18)*(Working_Data!$B$2:$B$2000=YEAR(O$5))*(Working_Data!$C$2:$C$2000=TEXT(O$5,"mmmm")),0),MATCH($B18,Working_Data!$D$1:$AD$1,0))</f>
        <v>167.7</v>
      </c>
      <c r="P18" s="185" cm="1">
        <f t="array" ref="P18">INDEX(Working_Data!$D$2:$AD$2000,MATCH(1,(Working_Data!$A$2:$A$2000=$A18)*(Working_Data!$B$2:$B$2000=YEAR(P$5))*(Working_Data!$C$2:$C$2000=TEXT(P$5,"mmmm")),0),MATCH($B18,Working_Data!$D$1:$AD$1,0))</f>
        <v>169.7</v>
      </c>
      <c r="Q18" s="185" cm="1">
        <f t="array" ref="Q18">INDEX(Working_Data!$D$2:$AD$2000,MATCH(1,(Working_Data!$A$2:$A$2000=$A18)*(Working_Data!$B$2:$B$2000=YEAR(Q$5))*(Working_Data!$C$2:$C$2000=TEXT(Q$5,"mmmm")),0),MATCH($B18,Working_Data!$D$1:$AD$1,0))</f>
        <v>168.2</v>
      </c>
      <c r="R18" s="185" cm="1">
        <f t="array" ref="R18">INDEX(Working_Data!$D$2:$AD$2000,MATCH(1,(Working_Data!$A$2:$A$2000=$A18)*(Working_Data!$B$2:$B$2000=YEAR(R$5))*(Working_Data!$C$2:$C$2000=TEXT(R$5,"mmmm")),0),MATCH($B18,Working_Data!$D$1:$AD$1,0))</f>
        <v>166.4</v>
      </c>
      <c r="S18" s="185" cm="1">
        <f t="array" ref="S18">INDEX(Working_Data!$D$2:$AD$2000,MATCH(1,(Working_Data!$A$2:$A$2000=$A18)*(Working_Data!$B$2:$B$2000=YEAR(S$5))*(Working_Data!$C$2:$C$2000=TEXT(S$5,"mmmm")),0),MATCH($B18,Working_Data!$D$1:$AD$1,0))</f>
        <v>166.2</v>
      </c>
      <c r="T18" s="185" cm="1">
        <f t="array" ref="T18">INDEX(Working_Data!$D$2:$AD$2000,MATCH(1,(Working_Data!$A$2:$A$2000=$A18)*(Working_Data!$B$2:$B$2000=YEAR(T$5))*(Working_Data!$C$2:$C$2000=TEXT(T$5,"mmmm")),0),MATCH($B18,Working_Data!$D$1:$AD$1,0))</f>
        <v>168.4</v>
      </c>
      <c r="U18" s="185" cm="1">
        <f t="array" ref="U18">INDEX(Working_Data!$D$2:$AD$2000,MATCH(1,(Working_Data!$A$2:$A$2000=$A18)*(Working_Data!$B$2:$B$2000=YEAR(U$5))*(Working_Data!$C$2:$C$2000=TEXT(U$5,"mmmm")),0),MATCH($B18,Working_Data!$D$1:$AD$1,0))</f>
        <v>170.8</v>
      </c>
      <c r="V18" s="185" cm="1">
        <f t="array" ref="V18">INDEX(Working_Data!$D$2:$AD$2000,MATCH(1,(Working_Data!$A$2:$A$2000=$A18)*(Working_Data!$B$2:$B$2000=YEAR(V$5))*(Working_Data!$C$2:$C$2000=TEXT(V$5,"mmmm")),0),MATCH($B18,Working_Data!$D$1:$AD$1,0))</f>
        <v>173.3</v>
      </c>
      <c r="W18" s="185" cm="1">
        <f t="array" ref="W18">INDEX(Working_Data!$D$2:$AD$2000,MATCH(1,(Working_Data!$A$2:$A$2000=$A18)*(Working_Data!$B$2:$B$2000=YEAR(W$5))*(Working_Data!$C$2:$C$2000=TEXT(W$5,"mmmm")),0),MATCH($B18,Working_Data!$D$1:$AD$1,0))</f>
        <v>174.9</v>
      </c>
      <c r="X18" s="185" cm="1">
        <f t="array" ref="X18">INDEX(Working_Data!$D$2:$AD$2000,MATCH(1,(Working_Data!$A$2:$A$2000=$A18)*(Working_Data!$B$2:$B$2000=YEAR(X$5))*(Working_Data!$C$2:$C$2000=TEXT(X$5,"mmmm")),0),MATCH($B18,Working_Data!$D$1:$AD$1,0))</f>
        <v>175</v>
      </c>
      <c r="Y18" s="185" cm="1">
        <f t="array" ref="Y18">INDEX(Working_Data!$D$2:$AD$2000,MATCH(1,(Working_Data!$A$2:$A$2000=$A18)*(Working_Data!$B$2:$B$2000=YEAR(Y$5))*(Working_Data!$C$2:$C$2000=TEXT(Y$5,"mmmm")),0),MATCH($B18,Working_Data!$D$1:$AD$1,0))</f>
        <v>176.3</v>
      </c>
      <c r="Z18" s="185" cm="1">
        <f t="array" ref="Z18">INDEX(Working_Data!$D$2:$AD$2000,MATCH(1,(Working_Data!$A$2:$A$2000=$A18)*(Working_Data!$B$2:$B$2000=YEAR(Z$5))*(Working_Data!$C$2:$C$2000=TEXT(Z$5,"mmmm")),0),MATCH($B18,Working_Data!$D$1:$AD$1,0))</f>
        <v>177.8</v>
      </c>
      <c r="AA18" s="185" cm="1">
        <f t="array" ref="AA18">INDEX(Working_Data!$D$2:$AD$2000,MATCH(1,(Working_Data!$A$2:$A$2000=$A18)*(Working_Data!$B$2:$B$2000=YEAR(AA$5))*(Working_Data!$C$2:$C$2000=TEXT(AA$5,"mmmm")),0),MATCH($B18,Working_Data!$D$1:$AD$1,0))</f>
        <v>179.6</v>
      </c>
      <c r="AB18" s="185" cm="1">
        <f t="array" ref="AB18">INDEX(Working_Data!$D$2:$AD$2000,MATCH(1,(Working_Data!$A$2:$A$2000=$A18)*(Working_Data!$B$2:$B$2000=YEAR(AB$5))*(Working_Data!$C$2:$C$2000=TEXT(AB$5,"mmmm")),0),MATCH($B18,Working_Data!$D$1:$AD$1,0))</f>
        <v>178.3</v>
      </c>
      <c r="AC18" s="185" cm="1">
        <f t="array" ref="AC18">INDEX(Working_Data!$D$2:$AD$2000,MATCH(1,(Working_Data!$A$2:$A$2000=$A18)*(Working_Data!$B$2:$B$2000=YEAR(AC$5))*(Working_Data!$C$2:$C$2000=TEXT(AC$5,"mmmm")),0),MATCH($B18,Working_Data!$D$1:$AD$1,0))</f>
        <v>175.9</v>
      </c>
      <c r="AD18" s="185" cm="1">
        <f t="array" ref="AD18">INDEX(Working_Data!$D$2:$AD$2000,MATCH(1,(Working_Data!$A$2:$A$2000=$A18)*(Working_Data!$B$2:$B$2000=YEAR(AD$5))*(Working_Data!$C$2:$C$2000=TEXT(AD$5,"mmmm")),0),MATCH($B18,Working_Data!$D$1:$AD$1,0))</f>
        <v>176.7</v>
      </c>
      <c r="AE18" s="185" cm="1">
        <f t="array" ref="AE18">INDEX(Working_Data!$D$2:$AD$2000,MATCH(1,(Working_Data!$A$2:$A$2000=$A18)*(Working_Data!$B$2:$B$2000=YEAR(AE$5))*(Working_Data!$C$2:$C$2000=TEXT(AE$5,"mmmm")),0),MATCH($B18,Working_Data!$D$1:$AD$1,0))</f>
        <v>177</v>
      </c>
      <c r="AF18" s="185" cm="1">
        <f t="array" ref="AF18">INDEX(Working_Data!$D$2:$AD$2000,MATCH(1,(Working_Data!$A$2:$A$2000=$A18)*(Working_Data!$B$2:$B$2000=YEAR(AF$5))*(Working_Data!$C$2:$C$2000=TEXT(AF$5,"mmmm")),0),MATCH($B18,Working_Data!$D$1:$AD$1,0))</f>
        <v>177</v>
      </c>
      <c r="AG18" s="185" cm="1">
        <f t="array" ref="AG18">INDEX(Working_Data!$D$2:$AD$2000,MATCH(1,(Working_Data!$A$2:$A$2000=$A18)*(Working_Data!$B$2:$B$2000=YEAR(AG$5))*(Working_Data!$C$2:$C$2000=TEXT(AG$5,"mmmm")),0),MATCH($B18,Working_Data!$D$1:$AD$1,0))</f>
        <v>177.9</v>
      </c>
      <c r="AH18" s="185" cm="1">
        <f t="array" ref="AH18">INDEX(Working_Data!$D$2:$AD$2000,MATCH(1,(Working_Data!$A$2:$A$2000=$A18)*(Working_Data!$B$2:$B$2000=YEAR(AH$5))*(Working_Data!$C$2:$C$2000=TEXT(AH$5,"mmmm")),0),MATCH($B18,Working_Data!$D$1:$AD$1,0))</f>
        <v>179.1</v>
      </c>
      <c r="AI18" s="185" t="s">
        <v>47</v>
      </c>
      <c r="AJ18" s="185" t="s">
        <v>47</v>
      </c>
      <c r="AK18" s="185" t="s">
        <v>47</v>
      </c>
      <c r="AL18" s="185" t="s">
        <v>47</v>
      </c>
      <c r="AM18" s="185" t="s">
        <v>47</v>
      </c>
      <c r="AN18" s="185" t="s">
        <v>47</v>
      </c>
      <c r="AO18" s="186" t="s">
        <v>47</v>
      </c>
    </row>
    <row r="19" spans="1:41" s="181" customFormat="1" ht="28.8" x14ac:dyDescent="0.3">
      <c r="A19" s="182" t="s">
        <v>34</v>
      </c>
      <c r="B19" s="183" t="s">
        <v>16</v>
      </c>
      <c r="C19" s="183" t="str">
        <f>_xlfn.XLOOKUP(B19,CPI_Category_Mapping[Category],CPI_Category_Mapping[New Food Category])</f>
        <v>Luxury</v>
      </c>
      <c r="D19" s="184">
        <f>CORREL(F19:AH19,'Crude Oil Price'!$B$5:$B$33)</f>
        <v>0.39884347509317564</v>
      </c>
      <c r="E19" s="185" cm="1">
        <f t="array" ref="E19">INDEX(Working_Data!$D$2:$AD$2000,MATCH(1,(Working_Data!$A$2:$A$2000=$A19)*(Working_Data!$B$2:$B$2000=YEAR(E$5))*(Working_Data!$C$2:$C$2000=TEXT(E$5,"mmmm")),0),MATCH($B19,Working_Data!$D$1:$AD$1,0))</f>
        <v>185.4</v>
      </c>
      <c r="F19" s="185" cm="1">
        <f t="array" ref="F19">INDEX(Working_Data!$D$2:$AD$2000,MATCH(1,(Working_Data!$A$2:$A$2000=$A19)*(Working_Data!$B$2:$B$2000=YEAR(F$5))*(Working_Data!$C$2:$C$2000=TEXT(F$5,"mmmm")),0),MATCH($B19,Working_Data!$D$1:$AD$1,0))</f>
        <v>186.5</v>
      </c>
      <c r="G19" s="185" cm="1">
        <f t="array" ref="G19">INDEX(Working_Data!$D$2:$AD$2000,MATCH(1,(Working_Data!$A$2:$A$2000=$A19)*(Working_Data!$B$2:$B$2000=YEAR(G$5))*(Working_Data!$C$2:$C$2000=TEXT(G$5,"mmmm")),0),MATCH($B19,Working_Data!$D$1:$AD$1,0))</f>
        <v>188.3</v>
      </c>
      <c r="H19" s="185" cm="1">
        <f t="array" ref="H19">INDEX(Working_Data!$D$2:$AD$2000,MATCH(1,(Working_Data!$A$2:$A$2000=$A19)*(Working_Data!$B$2:$B$2000=YEAR(H$5))*(Working_Data!$C$2:$C$2000=TEXT(H$5,"mmmm")),0),MATCH($B19,Working_Data!$D$1:$AD$1,0))</f>
        <v>188.1</v>
      </c>
      <c r="I19" s="185" cm="1">
        <f t="array" ref="I19">INDEX(Working_Data!$D$2:$AD$2000,MATCH(1,(Working_Data!$A$2:$A$2000=$A19)*(Working_Data!$B$2:$B$2000=YEAR(I$5))*(Working_Data!$C$2:$C$2000=TEXT(I$5,"mmmm")),0),MATCH($B19,Working_Data!$D$1:$AD$1,0))</f>
        <v>188.8</v>
      </c>
      <c r="J19" s="185" cm="1">
        <f t="array" ref="J19">INDEX(Working_Data!$D$2:$AD$2000,MATCH(1,(Working_Data!$A$2:$A$2000=$A19)*(Working_Data!$B$2:$B$2000=YEAR(J$5))*(Working_Data!$C$2:$C$2000=TEXT(J$5,"mmmm")),0),MATCH($B19,Working_Data!$D$1:$AD$1,0))</f>
        <v>191.9</v>
      </c>
      <c r="K19" s="185" cm="1">
        <f t="array" ref="K19">INDEX(Working_Data!$D$2:$AD$2000,MATCH(1,(Working_Data!$A$2:$A$2000=$A19)*(Working_Data!$B$2:$B$2000=YEAR(K$5))*(Working_Data!$C$2:$C$2000=TEXT(K$5,"mmmm")),0),MATCH($B19,Working_Data!$D$1:$AD$1,0))</f>
        <v>190.8</v>
      </c>
      <c r="L19" s="185" cm="1">
        <f t="array" ref="L19">INDEX(Working_Data!$D$2:$AD$2000,MATCH(1,(Working_Data!$A$2:$A$2000=$A19)*(Working_Data!$B$2:$B$2000=YEAR(L$5))*(Working_Data!$C$2:$C$2000=TEXT(L$5,"mmmm")),0),MATCH($B19,Working_Data!$D$1:$AD$1,0))</f>
        <v>191.2</v>
      </c>
      <c r="M19" s="185" cm="1">
        <f t="array" ref="M19">INDEX(Working_Data!$D$2:$AD$2000,MATCH(1,(Working_Data!$A$2:$A$2000=$A19)*(Working_Data!$B$2:$B$2000=YEAR(M$5))*(Working_Data!$C$2:$C$2000=TEXT(M$5,"mmmm")),0),MATCH($B19,Working_Data!$D$1:$AD$1,0))</f>
        <v>192.1</v>
      </c>
      <c r="N19" s="185" cm="1">
        <f t="array" ref="N19">INDEX(Working_Data!$D$2:$AD$2000,MATCH(1,(Working_Data!$A$2:$A$2000=$A19)*(Working_Data!$B$2:$B$2000=YEAR(N$5))*(Working_Data!$C$2:$C$2000=TEXT(N$5,"mmmm")),0),MATCH($B19,Working_Data!$D$1:$AD$1,0))</f>
        <v>192.1</v>
      </c>
      <c r="O19" s="185" cm="1">
        <f t="array" ref="O19">INDEX(Working_Data!$D$2:$AD$2000,MATCH(1,(Working_Data!$A$2:$A$2000=$A19)*(Working_Data!$B$2:$B$2000=YEAR(O$5))*(Working_Data!$C$2:$C$2000=TEXT(O$5,"mmmm")),0),MATCH($B19,Working_Data!$D$1:$AD$1,0))</f>
        <v>192.7</v>
      </c>
      <c r="P19" s="185" cm="1">
        <f t="array" ref="P19">INDEX(Working_Data!$D$2:$AD$2000,MATCH(1,(Working_Data!$A$2:$A$2000=$A19)*(Working_Data!$B$2:$B$2000=YEAR(P$5))*(Working_Data!$C$2:$C$2000=TEXT(P$5,"mmmm")),0),MATCH($B19,Working_Data!$D$1:$AD$1,0))</f>
        <v>192.9</v>
      </c>
      <c r="Q19" s="185" cm="1">
        <f t="array" ref="Q19">INDEX(Working_Data!$D$2:$AD$2000,MATCH(1,(Working_Data!$A$2:$A$2000=$A19)*(Working_Data!$B$2:$B$2000=YEAR(Q$5))*(Working_Data!$C$2:$C$2000=TEXT(Q$5,"mmmm")),0),MATCH($B19,Working_Data!$D$1:$AD$1,0))</f>
        <v>192.4</v>
      </c>
      <c r="R19" s="185" cm="1">
        <f t="array" ref="R19">INDEX(Working_Data!$D$2:$AD$2000,MATCH(1,(Working_Data!$A$2:$A$2000=$A19)*(Working_Data!$B$2:$B$2000=YEAR(R$5))*(Working_Data!$C$2:$C$2000=TEXT(R$5,"mmmm")),0),MATCH($B19,Working_Data!$D$1:$AD$1,0))</f>
        <v>192.2</v>
      </c>
      <c r="S19" s="185" cm="1">
        <f t="array" ref="S19">INDEX(Working_Data!$D$2:$AD$2000,MATCH(1,(Working_Data!$A$2:$A$2000=$A19)*(Working_Data!$B$2:$B$2000=YEAR(S$5))*(Working_Data!$C$2:$C$2000=TEXT(S$5,"mmmm")),0),MATCH($B19,Working_Data!$D$1:$AD$1,0))</f>
        <v>192.8</v>
      </c>
      <c r="T19" s="185" cm="1">
        <f t="array" ref="T19">INDEX(Working_Data!$D$2:$AD$2000,MATCH(1,(Working_Data!$A$2:$A$2000=$A19)*(Working_Data!$B$2:$B$2000=YEAR(T$5))*(Working_Data!$C$2:$C$2000=TEXT(T$5,"mmmm")),0),MATCH($B19,Working_Data!$D$1:$AD$1,0))</f>
        <v>193.7</v>
      </c>
      <c r="U19" s="185" cm="1">
        <f t="array" ref="U19">INDEX(Working_Data!$D$2:$AD$2000,MATCH(1,(Working_Data!$A$2:$A$2000=$A19)*(Working_Data!$B$2:$B$2000=YEAR(U$5))*(Working_Data!$C$2:$C$2000=TEXT(U$5,"mmmm")),0),MATCH($B19,Working_Data!$D$1:$AD$1,0))</f>
        <v>193.9</v>
      </c>
      <c r="V19" s="185" cm="1">
        <f t="array" ref="V19">INDEX(Working_Data!$D$2:$AD$2000,MATCH(1,(Working_Data!$A$2:$A$2000=$A19)*(Working_Data!$B$2:$B$2000=YEAR(V$5))*(Working_Data!$C$2:$C$2000=TEXT(V$5,"mmmm")),0),MATCH($B19,Working_Data!$D$1:$AD$1,0))</f>
        <v>194.1</v>
      </c>
      <c r="W19" s="185" cm="1">
        <f t="array" ref="W19">INDEX(Working_Data!$D$2:$AD$2000,MATCH(1,(Working_Data!$A$2:$A$2000=$A19)*(Working_Data!$B$2:$B$2000=YEAR(W$5))*(Working_Data!$C$2:$C$2000=TEXT(W$5,"mmmm")),0),MATCH($B19,Working_Data!$D$1:$AD$1,0))</f>
        <v>194.3</v>
      </c>
      <c r="X19" s="185" cm="1">
        <f t="array" ref="X19">INDEX(Working_Data!$D$2:$AD$2000,MATCH(1,(Working_Data!$A$2:$A$2000=$A19)*(Working_Data!$B$2:$B$2000=YEAR(X$5))*(Working_Data!$C$2:$C$2000=TEXT(X$5,"mmmm")),0),MATCH($B19,Working_Data!$D$1:$AD$1,0))</f>
        <v>194.6</v>
      </c>
      <c r="Y19" s="185" cm="1">
        <f t="array" ref="Y19">INDEX(Working_Data!$D$2:$AD$2000,MATCH(1,(Working_Data!$A$2:$A$2000=$A19)*(Working_Data!$B$2:$B$2000=YEAR(Y$5))*(Working_Data!$C$2:$C$2000=TEXT(Y$5,"mmmm")),0),MATCH($B19,Working_Data!$D$1:$AD$1,0))</f>
        <v>195</v>
      </c>
      <c r="Z19" s="185" cm="1">
        <f t="array" ref="Z19">INDEX(Working_Data!$D$2:$AD$2000,MATCH(1,(Working_Data!$A$2:$A$2000=$A19)*(Working_Data!$B$2:$B$2000=YEAR(Z$5))*(Working_Data!$C$2:$C$2000=TEXT(Z$5,"mmmm")),0),MATCH($B19,Working_Data!$D$1:$AD$1,0))</f>
        <v>195.9</v>
      </c>
      <c r="AA19" s="185" cm="1">
        <f t="array" ref="AA19">INDEX(Working_Data!$D$2:$AD$2000,MATCH(1,(Working_Data!$A$2:$A$2000=$A19)*(Working_Data!$B$2:$B$2000=YEAR(AA$5))*(Working_Data!$C$2:$C$2000=TEXT(AA$5,"mmmm")),0),MATCH($B19,Working_Data!$D$1:$AD$1,0))</f>
        <v>196.3</v>
      </c>
      <c r="AB19" s="185" cm="1">
        <f t="array" ref="AB19">INDEX(Working_Data!$D$2:$AD$2000,MATCH(1,(Working_Data!$A$2:$A$2000=$A19)*(Working_Data!$B$2:$B$2000=YEAR(AB$5))*(Working_Data!$C$2:$C$2000=TEXT(AB$5,"mmmm")),0),MATCH($B19,Working_Data!$D$1:$AD$1,0))</f>
        <v>196.9</v>
      </c>
      <c r="AC19" s="185" cm="1">
        <f t="array" ref="AC19">INDEX(Working_Data!$D$2:$AD$2000,MATCH(1,(Working_Data!$A$2:$A$2000=$A19)*(Working_Data!$B$2:$B$2000=YEAR(AC$5))*(Working_Data!$C$2:$C$2000=TEXT(AC$5,"mmmm")),0),MATCH($B19,Working_Data!$D$1:$AD$1,0))</f>
        <v>197.3</v>
      </c>
      <c r="AD19" s="185" cm="1">
        <f t="array" ref="AD19">INDEX(Working_Data!$D$2:$AD$2000,MATCH(1,(Working_Data!$A$2:$A$2000=$A19)*(Working_Data!$B$2:$B$2000=YEAR(AD$5))*(Working_Data!$C$2:$C$2000=TEXT(AD$5,"mmmm")),0),MATCH($B19,Working_Data!$D$1:$AD$1,0))</f>
        <v>198.2</v>
      </c>
      <c r="AE19" s="185" cm="1">
        <f t="array" ref="AE19">INDEX(Working_Data!$D$2:$AD$2000,MATCH(1,(Working_Data!$A$2:$A$2000=$A19)*(Working_Data!$B$2:$B$2000=YEAR(AE$5))*(Working_Data!$C$2:$C$2000=TEXT(AE$5,"mmmm")),0),MATCH($B19,Working_Data!$D$1:$AD$1,0))</f>
        <v>199.5</v>
      </c>
      <c r="AF19" s="185" cm="1">
        <f t="array" ref="AF19">INDEX(Working_Data!$D$2:$AD$2000,MATCH(1,(Working_Data!$A$2:$A$2000=$A19)*(Working_Data!$B$2:$B$2000=YEAR(AF$5))*(Working_Data!$C$2:$C$2000=TEXT(AF$5,"mmmm")),0),MATCH($B19,Working_Data!$D$1:$AD$1,0))</f>
        <v>199.5</v>
      </c>
      <c r="AG19" s="185" cm="1">
        <f t="array" ref="AG19">INDEX(Working_Data!$D$2:$AD$2000,MATCH(1,(Working_Data!$A$2:$A$2000=$A19)*(Working_Data!$B$2:$B$2000=YEAR(AG$5))*(Working_Data!$C$2:$C$2000=TEXT(AG$5,"mmmm")),0),MATCH($B19,Working_Data!$D$1:$AD$1,0))</f>
        <v>200.6</v>
      </c>
      <c r="AH19" s="185" cm="1">
        <f t="array" ref="AH19">INDEX(Working_Data!$D$2:$AD$2000,MATCH(1,(Working_Data!$A$2:$A$2000=$A19)*(Working_Data!$B$2:$B$2000=YEAR(AH$5))*(Working_Data!$C$2:$C$2000=TEXT(AH$5,"mmmm")),0),MATCH($B19,Working_Data!$D$1:$AD$1,0))</f>
        <v>201</v>
      </c>
      <c r="AI19" s="185" t="s">
        <v>47</v>
      </c>
      <c r="AJ19" s="185" t="s">
        <v>47</v>
      </c>
      <c r="AK19" s="185" t="s">
        <v>47</v>
      </c>
      <c r="AL19" s="185" t="s">
        <v>47</v>
      </c>
      <c r="AM19" s="185" t="s">
        <v>47</v>
      </c>
      <c r="AN19" s="185" t="s">
        <v>47</v>
      </c>
      <c r="AO19" s="186" t="s">
        <v>47</v>
      </c>
    </row>
    <row r="20" spans="1:41" s="181" customFormat="1" x14ac:dyDescent="0.3">
      <c r="A20" s="182" t="s">
        <v>34</v>
      </c>
      <c r="B20" s="183" t="s">
        <v>17</v>
      </c>
      <c r="C20" s="183" t="str">
        <f>_xlfn.XLOOKUP(B20,CPI_Category_Mapping[Category],CPI_Category_Mapping[New Food Category])</f>
        <v>Clothing</v>
      </c>
      <c r="D20" s="184">
        <f>CORREL(F20:AH20,'Crude Oil Price'!$B$5:$B$33)</f>
        <v>0.51957718225495442</v>
      </c>
      <c r="E20" s="185" cm="1">
        <f t="array" ref="E20">INDEX(Working_Data!$D$2:$AD$2000,MATCH(1,(Working_Data!$A$2:$A$2000=$A20)*(Working_Data!$B$2:$B$2000=YEAR(E$5))*(Working_Data!$C$2:$C$2000=TEXT(E$5,"mmmm")),0),MATCH($B20,Working_Data!$D$1:$AD$1,0))</f>
        <v>155</v>
      </c>
      <c r="F20" s="185" cm="1">
        <f t="array" ref="F20">INDEX(Working_Data!$D$2:$AD$2000,MATCH(1,(Working_Data!$A$2:$A$2000=$A20)*(Working_Data!$B$2:$B$2000=YEAR(F$5))*(Working_Data!$C$2:$C$2000=TEXT(F$5,"mmmm")),0),MATCH($B20,Working_Data!$D$1:$AD$1,0))</f>
        <v>155.5</v>
      </c>
      <c r="G20" s="185" cm="1">
        <f t="array" ref="G20">INDEX(Working_Data!$D$2:$AD$2000,MATCH(1,(Working_Data!$A$2:$A$2000=$A20)*(Working_Data!$B$2:$B$2000=YEAR(G$5))*(Working_Data!$C$2:$C$2000=TEXT(G$5,"mmmm")),0),MATCH($B20,Working_Data!$D$1:$AD$1,0))</f>
        <v>157.19999999999999</v>
      </c>
      <c r="H20" s="185" cm="1">
        <f t="array" ref="H20">INDEX(Working_Data!$D$2:$AD$2000,MATCH(1,(Working_Data!$A$2:$A$2000=$A20)*(Working_Data!$B$2:$B$2000=YEAR(H$5))*(Working_Data!$C$2:$C$2000=TEXT(H$5,"mmmm")),0),MATCH($B20,Working_Data!$D$1:$AD$1,0))</f>
        <v>157.80000000000001</v>
      </c>
      <c r="I20" s="185" cm="1">
        <f t="array" ref="I20">INDEX(Working_Data!$D$2:$AD$2000,MATCH(1,(Working_Data!$A$2:$A$2000=$A20)*(Working_Data!$B$2:$B$2000=YEAR(I$5))*(Working_Data!$C$2:$C$2000=TEXT(I$5,"mmmm")),0),MATCH($B20,Working_Data!$D$1:$AD$1,0))</f>
        <v>158.80000000000001</v>
      </c>
      <c r="J20" s="185" cm="1">
        <f t="array" ref="J20">INDEX(Working_Data!$D$2:$AD$2000,MATCH(1,(Working_Data!$A$2:$A$2000=$A20)*(Working_Data!$B$2:$B$2000=YEAR(J$5))*(Working_Data!$C$2:$C$2000=TEXT(J$5,"mmmm")),0),MATCH($B20,Working_Data!$D$1:$AD$1,0))</f>
        <v>161.80000000000001</v>
      </c>
      <c r="K20" s="185" cm="1">
        <f t="array" ref="K20">INDEX(Working_Data!$D$2:$AD$2000,MATCH(1,(Working_Data!$A$2:$A$2000=$A20)*(Working_Data!$B$2:$B$2000=YEAR(K$5))*(Working_Data!$C$2:$C$2000=TEXT(K$5,"mmmm")),0),MATCH($B20,Working_Data!$D$1:$AD$1,0))</f>
        <v>162.19999999999999</v>
      </c>
      <c r="L20" s="185" cm="1">
        <f t="array" ref="L20">INDEX(Working_Data!$D$2:$AD$2000,MATCH(1,(Working_Data!$A$2:$A$2000=$A20)*(Working_Data!$B$2:$B$2000=YEAR(L$5))*(Working_Data!$C$2:$C$2000=TEXT(L$5,"mmmm")),0),MATCH($B20,Working_Data!$D$1:$AD$1,0))</f>
        <v>162.80000000000001</v>
      </c>
      <c r="M20" s="185" cm="1">
        <f t="array" ref="M20">INDEX(Working_Data!$D$2:$AD$2000,MATCH(1,(Working_Data!$A$2:$A$2000=$A20)*(Working_Data!$B$2:$B$2000=YEAR(M$5))*(Working_Data!$C$2:$C$2000=TEXT(M$5,"mmmm")),0),MATCH($B20,Working_Data!$D$1:$AD$1,0))</f>
        <v>164.5</v>
      </c>
      <c r="N20" s="185" cm="1">
        <f t="array" ref="N20">INDEX(Working_Data!$D$2:$AD$2000,MATCH(1,(Working_Data!$A$2:$A$2000=$A20)*(Working_Data!$B$2:$B$2000=YEAR(N$5))*(Working_Data!$C$2:$C$2000=TEXT(N$5,"mmmm")),0),MATCH($B20,Working_Data!$D$1:$AD$1,0))</f>
        <v>164.6</v>
      </c>
      <c r="O20" s="185" cm="1">
        <f t="array" ref="O20">INDEX(Working_Data!$D$2:$AD$2000,MATCH(1,(Working_Data!$A$2:$A$2000=$A20)*(Working_Data!$B$2:$B$2000=YEAR(O$5))*(Working_Data!$C$2:$C$2000=TEXT(O$5,"mmmm")),0),MATCH($B20,Working_Data!$D$1:$AD$1,0))</f>
        <v>165.7</v>
      </c>
      <c r="P20" s="185" cm="1">
        <f t="array" ref="P20">INDEX(Working_Data!$D$2:$AD$2000,MATCH(1,(Working_Data!$A$2:$A$2000=$A20)*(Working_Data!$B$2:$B$2000=YEAR(P$5))*(Working_Data!$C$2:$C$2000=TEXT(P$5,"mmmm")),0),MATCH($B20,Working_Data!$D$1:$AD$1,0))</f>
        <v>167.2</v>
      </c>
      <c r="Q20" s="185" cm="1">
        <f t="array" ref="Q20">INDEX(Working_Data!$D$2:$AD$2000,MATCH(1,(Working_Data!$A$2:$A$2000=$A20)*(Working_Data!$B$2:$B$2000=YEAR(Q$5))*(Working_Data!$C$2:$C$2000=TEXT(Q$5,"mmmm")),0),MATCH($B20,Working_Data!$D$1:$AD$1,0))</f>
        <v>168.5</v>
      </c>
      <c r="R20" s="185" cm="1">
        <f t="array" ref="R20">INDEX(Working_Data!$D$2:$AD$2000,MATCH(1,(Working_Data!$A$2:$A$2000=$A20)*(Working_Data!$B$2:$B$2000=YEAR(R$5))*(Working_Data!$C$2:$C$2000=TEXT(R$5,"mmmm")),0),MATCH($B20,Working_Data!$D$1:$AD$1,0))</f>
        <v>169.9</v>
      </c>
      <c r="S20" s="185" cm="1">
        <f t="array" ref="S20">INDEX(Working_Data!$D$2:$AD$2000,MATCH(1,(Working_Data!$A$2:$A$2000=$A20)*(Working_Data!$B$2:$B$2000=YEAR(S$5))*(Working_Data!$C$2:$C$2000=TEXT(S$5,"mmmm")),0),MATCH($B20,Working_Data!$D$1:$AD$1,0))</f>
        <v>170.8</v>
      </c>
      <c r="T20" s="185" cm="1">
        <f t="array" ref="T20">INDEX(Working_Data!$D$2:$AD$2000,MATCH(1,(Working_Data!$A$2:$A$2000=$A20)*(Working_Data!$B$2:$B$2000=YEAR(T$5))*(Working_Data!$C$2:$C$2000=TEXT(T$5,"mmmm")),0),MATCH($B20,Working_Data!$D$1:$AD$1,0))</f>
        <v>172.1</v>
      </c>
      <c r="U20" s="185" cm="1">
        <f t="array" ref="U20">INDEX(Working_Data!$D$2:$AD$2000,MATCH(1,(Working_Data!$A$2:$A$2000=$A20)*(Working_Data!$B$2:$B$2000=YEAR(U$5))*(Working_Data!$C$2:$C$2000=TEXT(U$5,"mmmm")),0),MATCH($B20,Working_Data!$D$1:$AD$1,0))</f>
        <v>173.9</v>
      </c>
      <c r="V20" s="185" cm="1">
        <f t="array" ref="V20">INDEX(Working_Data!$D$2:$AD$2000,MATCH(1,(Working_Data!$A$2:$A$2000=$A20)*(Working_Data!$B$2:$B$2000=YEAR(V$5))*(Working_Data!$C$2:$C$2000=TEXT(V$5,"mmmm")),0),MATCH($B20,Working_Data!$D$1:$AD$1,0))</f>
        <v>175.6</v>
      </c>
      <c r="W20" s="185" cm="1">
        <f t="array" ref="W20">INDEX(Working_Data!$D$2:$AD$2000,MATCH(1,(Working_Data!$A$2:$A$2000=$A20)*(Working_Data!$B$2:$B$2000=YEAR(W$5))*(Working_Data!$C$2:$C$2000=TEXT(W$5,"mmmm")),0),MATCH($B20,Working_Data!$D$1:$AD$1,0))</f>
        <v>177.1</v>
      </c>
      <c r="X20" s="185" cm="1">
        <f t="array" ref="X20">INDEX(Working_Data!$D$2:$AD$2000,MATCH(1,(Working_Data!$A$2:$A$2000=$A20)*(Working_Data!$B$2:$B$2000=YEAR(X$5))*(Working_Data!$C$2:$C$2000=TEXT(X$5,"mmmm")),0),MATCH($B20,Working_Data!$D$1:$AD$1,0))</f>
        <v>178.3</v>
      </c>
      <c r="Y20" s="185" cm="1">
        <f t="array" ref="Y20">INDEX(Working_Data!$D$2:$AD$2000,MATCH(1,(Working_Data!$A$2:$A$2000=$A20)*(Working_Data!$B$2:$B$2000=YEAR(Y$5))*(Working_Data!$C$2:$C$2000=TEXT(Y$5,"mmmm")),0),MATCH($B20,Working_Data!$D$1:$AD$1,0))</f>
        <v>179.5</v>
      </c>
      <c r="Z20" s="185" cm="1">
        <f t="array" ref="Z20">INDEX(Working_Data!$D$2:$AD$2000,MATCH(1,(Working_Data!$A$2:$A$2000=$A20)*(Working_Data!$B$2:$B$2000=YEAR(Z$5))*(Working_Data!$C$2:$C$2000=TEXT(Z$5,"mmmm")),0),MATCH($B20,Working_Data!$D$1:$AD$1,0))</f>
        <v>180.9</v>
      </c>
      <c r="AA20" s="185" cm="1">
        <f t="array" ref="AA20">INDEX(Working_Data!$D$2:$AD$2000,MATCH(1,(Working_Data!$A$2:$A$2000=$A20)*(Working_Data!$B$2:$B$2000=YEAR(AA$5))*(Working_Data!$C$2:$C$2000=TEXT(AA$5,"mmmm")),0),MATCH($B20,Working_Data!$D$1:$AD$1,0))</f>
        <v>181.9</v>
      </c>
      <c r="AB20" s="185" cm="1">
        <f t="array" ref="AB20">INDEX(Working_Data!$D$2:$AD$2000,MATCH(1,(Working_Data!$A$2:$A$2000=$A20)*(Working_Data!$B$2:$B$2000=YEAR(AB$5))*(Working_Data!$C$2:$C$2000=TEXT(AB$5,"mmmm")),0),MATCH($B20,Working_Data!$D$1:$AD$1,0))</f>
        <v>183.1</v>
      </c>
      <c r="AC20" s="185" cm="1">
        <f t="array" ref="AC20">INDEX(Working_Data!$D$2:$AD$2000,MATCH(1,(Working_Data!$A$2:$A$2000=$A20)*(Working_Data!$B$2:$B$2000=YEAR(AC$5))*(Working_Data!$C$2:$C$2000=TEXT(AC$5,"mmmm")),0),MATCH($B20,Working_Data!$D$1:$AD$1,0))</f>
        <v>184</v>
      </c>
      <c r="AD20" s="185" cm="1">
        <f t="array" ref="AD20">INDEX(Working_Data!$D$2:$AD$2000,MATCH(1,(Working_Data!$A$2:$A$2000=$A20)*(Working_Data!$B$2:$B$2000=YEAR(AD$5))*(Working_Data!$C$2:$C$2000=TEXT(AD$5,"mmmm")),0),MATCH($B20,Working_Data!$D$1:$AD$1,0))</f>
        <v>184.9</v>
      </c>
      <c r="AE20" s="185" cm="1">
        <f t="array" ref="AE20">INDEX(Working_Data!$D$2:$AD$2000,MATCH(1,(Working_Data!$A$2:$A$2000=$A20)*(Working_Data!$B$2:$B$2000=YEAR(AE$5))*(Working_Data!$C$2:$C$2000=TEXT(AE$5,"mmmm")),0),MATCH($B20,Working_Data!$D$1:$AD$1,0))</f>
        <v>186.2</v>
      </c>
      <c r="AF20" s="185" cm="1">
        <f t="array" ref="AF20">INDEX(Working_Data!$D$2:$AD$2000,MATCH(1,(Working_Data!$A$2:$A$2000=$A20)*(Working_Data!$B$2:$B$2000=YEAR(AF$5))*(Working_Data!$C$2:$C$2000=TEXT(AF$5,"mmmm")),0),MATCH($B20,Working_Data!$D$1:$AD$1,0))</f>
        <v>186.1</v>
      </c>
      <c r="AG20" s="185" cm="1">
        <f t="array" ref="AG20">INDEX(Working_Data!$D$2:$AD$2000,MATCH(1,(Working_Data!$A$2:$A$2000=$A20)*(Working_Data!$B$2:$B$2000=YEAR(AG$5))*(Working_Data!$C$2:$C$2000=TEXT(AG$5,"mmmm")),0),MATCH($B20,Working_Data!$D$1:$AD$1,0))</f>
        <v>186.9</v>
      </c>
      <c r="AH20" s="185" cm="1">
        <f t="array" ref="AH20">INDEX(Working_Data!$D$2:$AD$2000,MATCH(1,(Working_Data!$A$2:$A$2000=$A20)*(Working_Data!$B$2:$B$2000=YEAR(AH$5))*(Working_Data!$C$2:$C$2000=TEXT(AH$5,"mmmm")),0),MATCH($B20,Working_Data!$D$1:$AD$1,0))</f>
        <v>187.3</v>
      </c>
      <c r="AI20" s="185" t="s">
        <v>47</v>
      </c>
      <c r="AJ20" s="185" t="s">
        <v>47</v>
      </c>
      <c r="AK20" s="185" t="s">
        <v>47</v>
      </c>
      <c r="AL20" s="185" t="s">
        <v>47</v>
      </c>
      <c r="AM20" s="185" t="s">
        <v>47</v>
      </c>
      <c r="AN20" s="185" t="s">
        <v>47</v>
      </c>
      <c r="AO20" s="186" t="s">
        <v>47</v>
      </c>
    </row>
    <row r="21" spans="1:41" s="181" customFormat="1" x14ac:dyDescent="0.3">
      <c r="A21" s="182" t="s">
        <v>34</v>
      </c>
      <c r="B21" s="183" t="s">
        <v>18</v>
      </c>
      <c r="C21" s="183" t="str">
        <f>_xlfn.XLOOKUP(B21,CPI_Category_Mapping[Category],CPI_Category_Mapping[New Food Category])</f>
        <v>Clothing</v>
      </c>
      <c r="D21" s="184">
        <f>CORREL(F21:AH21,'Crude Oil Price'!$B$5:$B$33)</f>
        <v>0.54712288862462777</v>
      </c>
      <c r="E21" s="185" cm="1">
        <f t="array" ref="E21">INDEX(Working_Data!$D$2:$AD$2000,MATCH(1,(Working_Data!$A$2:$A$2000=$A21)*(Working_Data!$B$2:$B$2000=YEAR(E$5))*(Working_Data!$C$2:$C$2000=TEXT(E$5,"mmmm")),0),MATCH($B21,Working_Data!$D$1:$AD$1,0))</f>
        <v>145.4</v>
      </c>
      <c r="F21" s="185" cm="1">
        <f t="array" ref="F21">INDEX(Working_Data!$D$2:$AD$2000,MATCH(1,(Working_Data!$A$2:$A$2000=$A21)*(Working_Data!$B$2:$B$2000=YEAR(F$5))*(Working_Data!$C$2:$C$2000=TEXT(F$5,"mmmm")),0),MATCH($B21,Working_Data!$D$1:$AD$1,0))</f>
        <v>146.1</v>
      </c>
      <c r="G21" s="185" cm="1">
        <f t="array" ref="G21">INDEX(Working_Data!$D$2:$AD$2000,MATCH(1,(Working_Data!$A$2:$A$2000=$A21)*(Working_Data!$B$2:$B$2000=YEAR(G$5))*(Working_Data!$C$2:$C$2000=TEXT(G$5,"mmmm")),0),MATCH($B21,Working_Data!$D$1:$AD$1,0))</f>
        <v>147.4</v>
      </c>
      <c r="H21" s="185" cm="1">
        <f t="array" ref="H21">INDEX(Working_Data!$D$2:$AD$2000,MATCH(1,(Working_Data!$A$2:$A$2000=$A21)*(Working_Data!$B$2:$B$2000=YEAR(H$5))*(Working_Data!$C$2:$C$2000=TEXT(H$5,"mmmm")),0),MATCH($B21,Working_Data!$D$1:$AD$1,0))</f>
        <v>147.9</v>
      </c>
      <c r="I21" s="185" cm="1">
        <f t="array" ref="I21">INDEX(Working_Data!$D$2:$AD$2000,MATCH(1,(Working_Data!$A$2:$A$2000=$A21)*(Working_Data!$B$2:$B$2000=YEAR(I$5))*(Working_Data!$C$2:$C$2000=TEXT(I$5,"mmmm")),0),MATCH($B21,Working_Data!$D$1:$AD$1,0))</f>
        <v>148.5</v>
      </c>
      <c r="J21" s="185" cm="1">
        <f t="array" ref="J21">INDEX(Working_Data!$D$2:$AD$2000,MATCH(1,(Working_Data!$A$2:$A$2000=$A21)*(Working_Data!$B$2:$B$2000=YEAR(J$5))*(Working_Data!$C$2:$C$2000=TEXT(J$5,"mmmm")),0),MATCH($B21,Working_Data!$D$1:$AD$1,0))</f>
        <v>152.1</v>
      </c>
      <c r="K21" s="185" cm="1">
        <f t="array" ref="K21">INDEX(Working_Data!$D$2:$AD$2000,MATCH(1,(Working_Data!$A$2:$A$2000=$A21)*(Working_Data!$B$2:$B$2000=YEAR(K$5))*(Working_Data!$C$2:$C$2000=TEXT(K$5,"mmmm")),0),MATCH($B21,Working_Data!$D$1:$AD$1,0))</f>
        <v>151.80000000000001</v>
      </c>
      <c r="L21" s="185" cm="1">
        <f t="array" ref="L21">INDEX(Working_Data!$D$2:$AD$2000,MATCH(1,(Working_Data!$A$2:$A$2000=$A21)*(Working_Data!$B$2:$B$2000=YEAR(L$5))*(Working_Data!$C$2:$C$2000=TEXT(L$5,"mmmm")),0),MATCH($B21,Working_Data!$D$1:$AD$1,0))</f>
        <v>153.1</v>
      </c>
      <c r="M21" s="185" cm="1">
        <f t="array" ref="M21">INDEX(Working_Data!$D$2:$AD$2000,MATCH(1,(Working_Data!$A$2:$A$2000=$A21)*(Working_Data!$B$2:$B$2000=YEAR(M$5))*(Working_Data!$C$2:$C$2000=TEXT(M$5,"mmmm")),0),MATCH($B21,Working_Data!$D$1:$AD$1,0))</f>
        <v>155.30000000000001</v>
      </c>
      <c r="N21" s="185" cm="1">
        <f t="array" ref="N21">INDEX(Working_Data!$D$2:$AD$2000,MATCH(1,(Working_Data!$A$2:$A$2000=$A21)*(Working_Data!$B$2:$B$2000=YEAR(N$5))*(Working_Data!$C$2:$C$2000=TEXT(N$5,"mmmm")),0),MATCH($B21,Working_Data!$D$1:$AD$1,0))</f>
        <v>155.30000000000001</v>
      </c>
      <c r="O21" s="185" cm="1">
        <f t="array" ref="O21">INDEX(Working_Data!$D$2:$AD$2000,MATCH(1,(Working_Data!$A$2:$A$2000=$A21)*(Working_Data!$B$2:$B$2000=YEAR(O$5))*(Working_Data!$C$2:$C$2000=TEXT(O$5,"mmmm")),0),MATCH($B21,Working_Data!$D$1:$AD$1,0))</f>
        <v>156.30000000000001</v>
      </c>
      <c r="P21" s="185" cm="1">
        <f t="array" ref="P21">INDEX(Working_Data!$D$2:$AD$2000,MATCH(1,(Working_Data!$A$2:$A$2000=$A21)*(Working_Data!$B$2:$B$2000=YEAR(P$5))*(Working_Data!$C$2:$C$2000=TEXT(P$5,"mmmm")),0),MATCH($B21,Working_Data!$D$1:$AD$1,0))</f>
        <v>157.4</v>
      </c>
      <c r="Q21" s="185" cm="1">
        <f t="array" ref="Q21">INDEX(Working_Data!$D$2:$AD$2000,MATCH(1,(Working_Data!$A$2:$A$2000=$A21)*(Working_Data!$B$2:$B$2000=YEAR(Q$5))*(Working_Data!$C$2:$C$2000=TEXT(Q$5,"mmmm")),0),MATCH($B21,Working_Data!$D$1:$AD$1,0))</f>
        <v>158.69999999999999</v>
      </c>
      <c r="R21" s="185" cm="1">
        <f t="array" ref="R21">INDEX(Working_Data!$D$2:$AD$2000,MATCH(1,(Working_Data!$A$2:$A$2000=$A21)*(Working_Data!$B$2:$B$2000=YEAR(R$5))*(Working_Data!$C$2:$C$2000=TEXT(R$5,"mmmm")),0),MATCH($B21,Working_Data!$D$1:$AD$1,0))</f>
        <v>160.69999999999999</v>
      </c>
      <c r="S21" s="185" cm="1">
        <f t="array" ref="S21">INDEX(Working_Data!$D$2:$AD$2000,MATCH(1,(Working_Data!$A$2:$A$2000=$A21)*(Working_Data!$B$2:$B$2000=YEAR(S$5))*(Working_Data!$C$2:$C$2000=TEXT(S$5,"mmmm")),0),MATCH($B21,Working_Data!$D$1:$AD$1,0))</f>
        <v>162.4</v>
      </c>
      <c r="T21" s="185" cm="1">
        <f t="array" ref="T21">INDEX(Working_Data!$D$2:$AD$2000,MATCH(1,(Working_Data!$A$2:$A$2000=$A21)*(Working_Data!$B$2:$B$2000=YEAR(T$5))*(Working_Data!$C$2:$C$2000=TEXT(T$5,"mmmm")),0),MATCH($B21,Working_Data!$D$1:$AD$1,0))</f>
        <v>164.6</v>
      </c>
      <c r="U21" s="185" cm="1">
        <f t="array" ref="U21">INDEX(Working_Data!$D$2:$AD$2000,MATCH(1,(Working_Data!$A$2:$A$2000=$A21)*(Working_Data!$B$2:$B$2000=YEAR(U$5))*(Working_Data!$C$2:$C$2000=TEXT(U$5,"mmmm")),0),MATCH($B21,Working_Data!$D$1:$AD$1,0))</f>
        <v>166.5</v>
      </c>
      <c r="V21" s="185" cm="1">
        <f t="array" ref="V21">INDEX(Working_Data!$D$2:$AD$2000,MATCH(1,(Working_Data!$A$2:$A$2000=$A21)*(Working_Data!$B$2:$B$2000=YEAR(V$5))*(Working_Data!$C$2:$C$2000=TEXT(V$5,"mmmm")),0),MATCH($B21,Working_Data!$D$1:$AD$1,0))</f>
        <v>168.4</v>
      </c>
      <c r="W21" s="185" cm="1">
        <f t="array" ref="W21">INDEX(Working_Data!$D$2:$AD$2000,MATCH(1,(Working_Data!$A$2:$A$2000=$A21)*(Working_Data!$B$2:$B$2000=YEAR(W$5))*(Working_Data!$C$2:$C$2000=TEXT(W$5,"mmmm")),0),MATCH($B21,Working_Data!$D$1:$AD$1,0))</f>
        <v>169.9</v>
      </c>
      <c r="X21" s="185" cm="1">
        <f t="array" ref="X21">INDEX(Working_Data!$D$2:$AD$2000,MATCH(1,(Working_Data!$A$2:$A$2000=$A21)*(Working_Data!$B$2:$B$2000=YEAR(X$5))*(Working_Data!$C$2:$C$2000=TEXT(X$5,"mmmm")),0),MATCH($B21,Working_Data!$D$1:$AD$1,0))</f>
        <v>171.3</v>
      </c>
      <c r="Y21" s="185" cm="1">
        <f t="array" ref="Y21">INDEX(Working_Data!$D$2:$AD$2000,MATCH(1,(Working_Data!$A$2:$A$2000=$A21)*(Working_Data!$B$2:$B$2000=YEAR(Y$5))*(Working_Data!$C$2:$C$2000=TEXT(Y$5,"mmmm")),0),MATCH($B21,Working_Data!$D$1:$AD$1,0))</f>
        <v>172.7</v>
      </c>
      <c r="Z21" s="185" cm="1">
        <f t="array" ref="Z21">INDEX(Working_Data!$D$2:$AD$2000,MATCH(1,(Working_Data!$A$2:$A$2000=$A21)*(Working_Data!$B$2:$B$2000=YEAR(Z$5))*(Working_Data!$C$2:$C$2000=TEXT(Z$5,"mmmm")),0),MATCH($B21,Working_Data!$D$1:$AD$1,0))</f>
        <v>174.3</v>
      </c>
      <c r="AA21" s="185" cm="1">
        <f t="array" ref="AA21">INDEX(Working_Data!$D$2:$AD$2000,MATCH(1,(Working_Data!$A$2:$A$2000=$A21)*(Working_Data!$B$2:$B$2000=YEAR(AA$5))*(Working_Data!$C$2:$C$2000=TEXT(AA$5,"mmmm")),0),MATCH($B21,Working_Data!$D$1:$AD$1,0))</f>
        <v>175.3</v>
      </c>
      <c r="AB21" s="185" cm="1">
        <f t="array" ref="AB21">INDEX(Working_Data!$D$2:$AD$2000,MATCH(1,(Working_Data!$A$2:$A$2000=$A21)*(Working_Data!$B$2:$B$2000=YEAR(AB$5))*(Working_Data!$C$2:$C$2000=TEXT(AB$5,"mmmm")),0),MATCH($B21,Working_Data!$D$1:$AD$1,0))</f>
        <v>176.2</v>
      </c>
      <c r="AC21" s="185" cm="1">
        <f t="array" ref="AC21">INDEX(Working_Data!$D$2:$AD$2000,MATCH(1,(Working_Data!$A$2:$A$2000=$A21)*(Working_Data!$B$2:$B$2000=YEAR(AC$5))*(Working_Data!$C$2:$C$2000=TEXT(AC$5,"mmmm")),0),MATCH($B21,Working_Data!$D$1:$AD$1,0))</f>
        <v>177</v>
      </c>
      <c r="AD21" s="185" cm="1">
        <f t="array" ref="AD21">INDEX(Working_Data!$D$2:$AD$2000,MATCH(1,(Working_Data!$A$2:$A$2000=$A21)*(Working_Data!$B$2:$B$2000=YEAR(AD$5))*(Working_Data!$C$2:$C$2000=TEXT(AD$5,"mmmm")),0),MATCH($B21,Working_Data!$D$1:$AD$1,0))</f>
        <v>177.6</v>
      </c>
      <c r="AE21" s="185" cm="1">
        <f t="array" ref="AE21">INDEX(Working_Data!$D$2:$AD$2000,MATCH(1,(Working_Data!$A$2:$A$2000=$A21)*(Working_Data!$B$2:$B$2000=YEAR(AE$5))*(Working_Data!$C$2:$C$2000=TEXT(AE$5,"mmmm")),0),MATCH($B21,Working_Data!$D$1:$AD$1,0))</f>
        <v>178.7</v>
      </c>
      <c r="AF21" s="185" cm="1">
        <f t="array" ref="AF21">INDEX(Working_Data!$D$2:$AD$2000,MATCH(1,(Working_Data!$A$2:$A$2000=$A21)*(Working_Data!$B$2:$B$2000=YEAR(AF$5))*(Working_Data!$C$2:$C$2000=TEXT(AF$5,"mmmm")),0),MATCH($B21,Working_Data!$D$1:$AD$1,0))</f>
        <v>178.7</v>
      </c>
      <c r="AG21" s="185" cm="1">
        <f t="array" ref="AG21">INDEX(Working_Data!$D$2:$AD$2000,MATCH(1,(Working_Data!$A$2:$A$2000=$A21)*(Working_Data!$B$2:$B$2000=YEAR(AG$5))*(Working_Data!$C$2:$C$2000=TEXT(AG$5,"mmmm")),0),MATCH($B21,Working_Data!$D$1:$AD$1,0))</f>
        <v>179.2</v>
      </c>
      <c r="AH21" s="185" cm="1">
        <f t="array" ref="AH21">INDEX(Working_Data!$D$2:$AD$2000,MATCH(1,(Working_Data!$A$2:$A$2000=$A21)*(Working_Data!$B$2:$B$2000=YEAR(AH$5))*(Working_Data!$C$2:$C$2000=TEXT(AH$5,"mmmm")),0),MATCH($B21,Working_Data!$D$1:$AD$1,0))</f>
        <v>179.7</v>
      </c>
      <c r="AI21" s="185" t="s">
        <v>47</v>
      </c>
      <c r="AJ21" s="185" t="s">
        <v>47</v>
      </c>
      <c r="AK21" s="185" t="s">
        <v>47</v>
      </c>
      <c r="AL21" s="185" t="s">
        <v>47</v>
      </c>
      <c r="AM21" s="185" t="s">
        <v>47</v>
      </c>
      <c r="AN21" s="185" t="s">
        <v>47</v>
      </c>
      <c r="AO21" s="186" t="s">
        <v>47</v>
      </c>
    </row>
    <row r="22" spans="1:41" s="181" customFormat="1" ht="28.8" x14ac:dyDescent="0.3">
      <c r="A22" s="182" t="s">
        <v>34</v>
      </c>
      <c r="B22" s="183" t="s">
        <v>19</v>
      </c>
      <c r="C22" s="183" t="str">
        <f>_xlfn.XLOOKUP(B22,CPI_Category_Mapping[Category],CPI_Category_Mapping[New Food Category])</f>
        <v>Clothing</v>
      </c>
      <c r="D22" s="184">
        <f>CORREL(F22:AH22,'Crude Oil Price'!$B$5:$B$33)</f>
        <v>0.52415472990869605</v>
      </c>
      <c r="E22" s="185" cm="1">
        <f t="array" ref="E22">INDEX(Working_Data!$D$2:$AD$2000,MATCH(1,(Working_Data!$A$2:$A$2000=$A22)*(Working_Data!$B$2:$B$2000=YEAR(E$5))*(Working_Data!$C$2:$C$2000=TEXT(E$5,"mmmm")),0),MATCH($B22,Working_Data!$D$1:$AD$1,0))</f>
        <v>153.6</v>
      </c>
      <c r="F22" s="185" cm="1">
        <f t="array" ref="F22">INDEX(Working_Data!$D$2:$AD$2000,MATCH(1,(Working_Data!$A$2:$A$2000=$A22)*(Working_Data!$B$2:$B$2000=YEAR(F$5))*(Working_Data!$C$2:$C$2000=TEXT(F$5,"mmmm")),0),MATCH($B22,Working_Data!$D$1:$AD$1,0))</f>
        <v>154.19999999999999</v>
      </c>
      <c r="G22" s="185" cm="1">
        <f t="array" ref="G22">INDEX(Working_Data!$D$2:$AD$2000,MATCH(1,(Working_Data!$A$2:$A$2000=$A22)*(Working_Data!$B$2:$B$2000=YEAR(G$5))*(Working_Data!$C$2:$C$2000=TEXT(G$5,"mmmm")),0),MATCH($B22,Working_Data!$D$1:$AD$1,0))</f>
        <v>155.80000000000001</v>
      </c>
      <c r="H22" s="185" cm="1">
        <f t="array" ref="H22">INDEX(Working_Data!$D$2:$AD$2000,MATCH(1,(Working_Data!$A$2:$A$2000=$A22)*(Working_Data!$B$2:$B$2000=YEAR(H$5))*(Working_Data!$C$2:$C$2000=TEXT(H$5,"mmmm")),0),MATCH($B22,Working_Data!$D$1:$AD$1,0))</f>
        <v>156.4</v>
      </c>
      <c r="I22" s="185" cm="1">
        <f t="array" ref="I22">INDEX(Working_Data!$D$2:$AD$2000,MATCH(1,(Working_Data!$A$2:$A$2000=$A22)*(Working_Data!$B$2:$B$2000=YEAR(I$5))*(Working_Data!$C$2:$C$2000=TEXT(I$5,"mmmm")),0),MATCH($B22,Working_Data!$D$1:$AD$1,0))</f>
        <v>157.30000000000001</v>
      </c>
      <c r="J22" s="185" cm="1">
        <f t="array" ref="J22">INDEX(Working_Data!$D$2:$AD$2000,MATCH(1,(Working_Data!$A$2:$A$2000=$A22)*(Working_Data!$B$2:$B$2000=YEAR(J$5))*(Working_Data!$C$2:$C$2000=TEXT(J$5,"mmmm")),0),MATCH($B22,Working_Data!$D$1:$AD$1,0))</f>
        <v>160.4</v>
      </c>
      <c r="K22" s="185" cm="1">
        <f t="array" ref="K22">INDEX(Working_Data!$D$2:$AD$2000,MATCH(1,(Working_Data!$A$2:$A$2000=$A22)*(Working_Data!$B$2:$B$2000=YEAR(K$5))*(Working_Data!$C$2:$C$2000=TEXT(K$5,"mmmm")),0),MATCH($B22,Working_Data!$D$1:$AD$1,0))</f>
        <v>160.69999999999999</v>
      </c>
      <c r="L22" s="185" cm="1">
        <f t="array" ref="L22">INDEX(Working_Data!$D$2:$AD$2000,MATCH(1,(Working_Data!$A$2:$A$2000=$A22)*(Working_Data!$B$2:$B$2000=YEAR(L$5))*(Working_Data!$C$2:$C$2000=TEXT(L$5,"mmmm")),0),MATCH($B22,Working_Data!$D$1:$AD$1,0))</f>
        <v>161.4</v>
      </c>
      <c r="M22" s="185" cm="1">
        <f t="array" ref="M22">INDEX(Working_Data!$D$2:$AD$2000,MATCH(1,(Working_Data!$A$2:$A$2000=$A22)*(Working_Data!$B$2:$B$2000=YEAR(M$5))*(Working_Data!$C$2:$C$2000=TEXT(M$5,"mmmm")),0),MATCH($B22,Working_Data!$D$1:$AD$1,0))</f>
        <v>163.19999999999999</v>
      </c>
      <c r="N22" s="185" cm="1">
        <f t="array" ref="N22">INDEX(Working_Data!$D$2:$AD$2000,MATCH(1,(Working_Data!$A$2:$A$2000=$A22)*(Working_Data!$B$2:$B$2000=YEAR(N$5))*(Working_Data!$C$2:$C$2000=TEXT(N$5,"mmmm")),0),MATCH($B22,Working_Data!$D$1:$AD$1,0))</f>
        <v>163.30000000000001</v>
      </c>
      <c r="O22" s="185" cm="1">
        <f t="array" ref="O22">INDEX(Working_Data!$D$2:$AD$2000,MATCH(1,(Working_Data!$A$2:$A$2000=$A22)*(Working_Data!$B$2:$B$2000=YEAR(O$5))*(Working_Data!$C$2:$C$2000=TEXT(O$5,"mmmm")),0),MATCH($B22,Working_Data!$D$1:$AD$1,0))</f>
        <v>164.3</v>
      </c>
      <c r="P22" s="185" cm="1">
        <f t="array" ref="P22">INDEX(Working_Data!$D$2:$AD$2000,MATCH(1,(Working_Data!$A$2:$A$2000=$A22)*(Working_Data!$B$2:$B$2000=YEAR(P$5))*(Working_Data!$C$2:$C$2000=TEXT(P$5,"mmmm")),0),MATCH($B22,Working_Data!$D$1:$AD$1,0))</f>
        <v>165.8</v>
      </c>
      <c r="Q22" s="185" cm="1">
        <f t="array" ref="Q22">INDEX(Working_Data!$D$2:$AD$2000,MATCH(1,(Working_Data!$A$2:$A$2000=$A22)*(Working_Data!$B$2:$B$2000=YEAR(Q$5))*(Working_Data!$C$2:$C$2000=TEXT(Q$5,"mmmm")),0),MATCH($B22,Working_Data!$D$1:$AD$1,0))</f>
        <v>167</v>
      </c>
      <c r="R22" s="185" cm="1">
        <f t="array" ref="R22">INDEX(Working_Data!$D$2:$AD$2000,MATCH(1,(Working_Data!$A$2:$A$2000=$A22)*(Working_Data!$B$2:$B$2000=YEAR(R$5))*(Working_Data!$C$2:$C$2000=TEXT(R$5,"mmmm")),0),MATCH($B22,Working_Data!$D$1:$AD$1,0))</f>
        <v>168.5</v>
      </c>
      <c r="S22" s="185" cm="1">
        <f t="array" ref="S22">INDEX(Working_Data!$D$2:$AD$2000,MATCH(1,(Working_Data!$A$2:$A$2000=$A22)*(Working_Data!$B$2:$B$2000=YEAR(S$5))*(Working_Data!$C$2:$C$2000=TEXT(S$5,"mmmm")),0),MATCH($B22,Working_Data!$D$1:$AD$1,0))</f>
        <v>169.6</v>
      </c>
      <c r="T22" s="185" cm="1">
        <f t="array" ref="T22">INDEX(Working_Data!$D$2:$AD$2000,MATCH(1,(Working_Data!$A$2:$A$2000=$A22)*(Working_Data!$B$2:$B$2000=YEAR(T$5))*(Working_Data!$C$2:$C$2000=TEXT(T$5,"mmmm")),0),MATCH($B22,Working_Data!$D$1:$AD$1,0))</f>
        <v>171.1</v>
      </c>
      <c r="U22" s="185" cm="1">
        <f t="array" ref="U22">INDEX(Working_Data!$D$2:$AD$2000,MATCH(1,(Working_Data!$A$2:$A$2000=$A22)*(Working_Data!$B$2:$B$2000=YEAR(U$5))*(Working_Data!$C$2:$C$2000=TEXT(U$5,"mmmm")),0),MATCH($B22,Working_Data!$D$1:$AD$1,0))</f>
        <v>172.8</v>
      </c>
      <c r="V22" s="185" cm="1">
        <f t="array" ref="V22">INDEX(Working_Data!$D$2:$AD$2000,MATCH(1,(Working_Data!$A$2:$A$2000=$A22)*(Working_Data!$B$2:$B$2000=YEAR(V$5))*(Working_Data!$C$2:$C$2000=TEXT(V$5,"mmmm")),0),MATCH($B22,Working_Data!$D$1:$AD$1,0))</f>
        <v>174.6</v>
      </c>
      <c r="W22" s="185" cm="1">
        <f t="array" ref="W22">INDEX(Working_Data!$D$2:$AD$2000,MATCH(1,(Working_Data!$A$2:$A$2000=$A22)*(Working_Data!$B$2:$B$2000=YEAR(W$5))*(Working_Data!$C$2:$C$2000=TEXT(W$5,"mmmm")),0),MATCH($B22,Working_Data!$D$1:$AD$1,0))</f>
        <v>176</v>
      </c>
      <c r="X22" s="185" cm="1">
        <f t="array" ref="X22">INDEX(Working_Data!$D$2:$AD$2000,MATCH(1,(Working_Data!$A$2:$A$2000=$A22)*(Working_Data!$B$2:$B$2000=YEAR(X$5))*(Working_Data!$C$2:$C$2000=TEXT(X$5,"mmmm")),0),MATCH($B22,Working_Data!$D$1:$AD$1,0))</f>
        <v>177.3</v>
      </c>
      <c r="Y22" s="185" cm="1">
        <f t="array" ref="Y22">INDEX(Working_Data!$D$2:$AD$2000,MATCH(1,(Working_Data!$A$2:$A$2000=$A22)*(Working_Data!$B$2:$B$2000=YEAR(Y$5))*(Working_Data!$C$2:$C$2000=TEXT(Y$5,"mmmm")),0),MATCH($B22,Working_Data!$D$1:$AD$1,0))</f>
        <v>178.5</v>
      </c>
      <c r="Z22" s="185" cm="1">
        <f t="array" ref="Z22">INDEX(Working_Data!$D$2:$AD$2000,MATCH(1,(Working_Data!$A$2:$A$2000=$A22)*(Working_Data!$B$2:$B$2000=YEAR(Z$5))*(Working_Data!$C$2:$C$2000=TEXT(Z$5,"mmmm")),0),MATCH($B22,Working_Data!$D$1:$AD$1,0))</f>
        <v>179.9</v>
      </c>
      <c r="AA22" s="185" cm="1">
        <f t="array" ref="AA22">INDEX(Working_Data!$D$2:$AD$2000,MATCH(1,(Working_Data!$A$2:$A$2000=$A22)*(Working_Data!$B$2:$B$2000=YEAR(AA$5))*(Working_Data!$C$2:$C$2000=TEXT(AA$5,"mmmm")),0),MATCH($B22,Working_Data!$D$1:$AD$1,0))</f>
        <v>181</v>
      </c>
      <c r="AB22" s="185" cm="1">
        <f t="array" ref="AB22">INDEX(Working_Data!$D$2:$AD$2000,MATCH(1,(Working_Data!$A$2:$A$2000=$A22)*(Working_Data!$B$2:$B$2000=YEAR(AB$5))*(Working_Data!$C$2:$C$2000=TEXT(AB$5,"mmmm")),0),MATCH($B22,Working_Data!$D$1:$AD$1,0))</f>
        <v>182.1</v>
      </c>
      <c r="AC22" s="185" cm="1">
        <f t="array" ref="AC22">INDEX(Working_Data!$D$2:$AD$2000,MATCH(1,(Working_Data!$A$2:$A$2000=$A22)*(Working_Data!$B$2:$B$2000=YEAR(AC$5))*(Working_Data!$C$2:$C$2000=TEXT(AC$5,"mmmm")),0),MATCH($B22,Working_Data!$D$1:$AD$1,0))</f>
        <v>183</v>
      </c>
      <c r="AD22" s="185" cm="1">
        <f t="array" ref="AD22">INDEX(Working_Data!$D$2:$AD$2000,MATCH(1,(Working_Data!$A$2:$A$2000=$A22)*(Working_Data!$B$2:$B$2000=YEAR(AD$5))*(Working_Data!$C$2:$C$2000=TEXT(AD$5,"mmmm")),0),MATCH($B22,Working_Data!$D$1:$AD$1,0))</f>
        <v>183.8</v>
      </c>
      <c r="AE22" s="185" cm="1">
        <f t="array" ref="AE22">INDEX(Working_Data!$D$2:$AD$2000,MATCH(1,(Working_Data!$A$2:$A$2000=$A22)*(Working_Data!$B$2:$B$2000=YEAR(AE$5))*(Working_Data!$C$2:$C$2000=TEXT(AE$5,"mmmm")),0),MATCH($B22,Working_Data!$D$1:$AD$1,0))</f>
        <v>185.1</v>
      </c>
      <c r="AF22" s="185" cm="1">
        <f t="array" ref="AF22">INDEX(Working_Data!$D$2:$AD$2000,MATCH(1,(Working_Data!$A$2:$A$2000=$A22)*(Working_Data!$B$2:$B$2000=YEAR(AF$5))*(Working_Data!$C$2:$C$2000=TEXT(AF$5,"mmmm")),0),MATCH($B22,Working_Data!$D$1:$AD$1,0))</f>
        <v>185.1</v>
      </c>
      <c r="AG22" s="185" cm="1">
        <f t="array" ref="AG22">INDEX(Working_Data!$D$2:$AD$2000,MATCH(1,(Working_Data!$A$2:$A$2000=$A22)*(Working_Data!$B$2:$B$2000=YEAR(AG$5))*(Working_Data!$C$2:$C$2000=TEXT(AG$5,"mmmm")),0),MATCH($B22,Working_Data!$D$1:$AD$1,0))</f>
        <v>185.7</v>
      </c>
      <c r="AH22" s="185" cm="1">
        <f t="array" ref="AH22">INDEX(Working_Data!$D$2:$AD$2000,MATCH(1,(Working_Data!$A$2:$A$2000=$A22)*(Working_Data!$B$2:$B$2000=YEAR(AH$5))*(Working_Data!$C$2:$C$2000=TEXT(AH$5,"mmmm")),0),MATCH($B22,Working_Data!$D$1:$AD$1,0))</f>
        <v>186.2</v>
      </c>
      <c r="AI22" s="185" t="s">
        <v>47</v>
      </c>
      <c r="AJ22" s="185" t="s">
        <v>47</v>
      </c>
      <c r="AK22" s="185" t="s">
        <v>47</v>
      </c>
      <c r="AL22" s="185" t="s">
        <v>47</v>
      </c>
      <c r="AM22" s="185" t="s">
        <v>47</v>
      </c>
      <c r="AN22" s="185" t="s">
        <v>47</v>
      </c>
      <c r="AO22" s="186" t="s">
        <v>47</v>
      </c>
    </row>
    <row r="23" spans="1:41" s="181" customFormat="1" x14ac:dyDescent="0.3">
      <c r="A23" s="182" t="s">
        <v>34</v>
      </c>
      <c r="B23" s="183" t="s">
        <v>20</v>
      </c>
      <c r="C23" s="183" t="str">
        <f>_xlfn.XLOOKUP(B23,CPI_Category_Mapping[Category],CPI_Category_Mapping[New Food Category])</f>
        <v>Housing</v>
      </c>
      <c r="D23" s="184">
        <f>CORREL(F23:AH23,'Crude Oil Price'!$B$5:$B$33)</f>
        <v>0.42784337689564433</v>
      </c>
      <c r="E23" s="185" cm="1">
        <f t="array" ref="E23">INDEX(Working_Data!$D$2:$AD$2000,MATCH(1,(Working_Data!$A$2:$A$2000=$A23)*(Working_Data!$B$2:$B$2000=YEAR(E$5))*(Working_Data!$C$2:$C$2000=TEXT(E$5,"mmmm")),0),MATCH($B23,Working_Data!$D$1:$AD$1,0))</f>
        <v>158.4</v>
      </c>
      <c r="F23" s="185" cm="1">
        <f t="array" ref="F23">INDEX(Working_Data!$D$2:$AD$2000,MATCH(1,(Working_Data!$A$2:$A$2000=$A23)*(Working_Data!$B$2:$B$2000=YEAR(F$5))*(Working_Data!$C$2:$C$2000=TEXT(F$5,"mmmm")),0),MATCH($B23,Working_Data!$D$1:$AD$1,0))</f>
        <v>157.69999999999999</v>
      </c>
      <c r="G23" s="185" cm="1">
        <f t="array" ref="G23">INDEX(Working_Data!$D$2:$AD$2000,MATCH(1,(Working_Data!$A$2:$A$2000=$A23)*(Working_Data!$B$2:$B$2000=YEAR(G$5))*(Working_Data!$C$2:$C$2000=TEXT(G$5,"mmmm")),0),MATCH($B23,Working_Data!$D$1:$AD$1,0))</f>
        <v>159.80000000000001</v>
      </c>
      <c r="H23" s="185" cm="1">
        <f t="array" ref="H23">INDEX(Working_Data!$D$2:$AD$2000,MATCH(1,(Working_Data!$A$2:$A$2000=$A23)*(Working_Data!$B$2:$B$2000=YEAR(H$5))*(Working_Data!$C$2:$C$2000=TEXT(H$5,"mmmm")),0),MATCH($B23,Working_Data!$D$1:$AD$1,0))</f>
        <v>159.9</v>
      </c>
      <c r="I23" s="185" cm="1">
        <f t="array" ref="I23">INDEX(Working_Data!$D$2:$AD$2000,MATCH(1,(Working_Data!$A$2:$A$2000=$A23)*(Working_Data!$B$2:$B$2000=YEAR(I$5))*(Working_Data!$C$2:$C$2000=TEXT(I$5,"mmmm")),0),MATCH($B23,Working_Data!$D$1:$AD$1,0))</f>
        <v>161.4</v>
      </c>
      <c r="J23" s="185" cm="1">
        <f t="array" ref="J23">INDEX(Working_Data!$D$2:$AD$2000,MATCH(1,(Working_Data!$A$2:$A$2000=$A23)*(Working_Data!$B$2:$B$2000=YEAR(J$5))*(Working_Data!$C$2:$C$2000=TEXT(J$5,"mmmm")),0),MATCH($B23,Working_Data!$D$1:$AD$1,0))</f>
        <v>161.6</v>
      </c>
      <c r="K23" s="185" cm="1">
        <f t="array" ref="K23">INDEX(Working_Data!$D$2:$AD$2000,MATCH(1,(Working_Data!$A$2:$A$2000=$A23)*(Working_Data!$B$2:$B$2000=YEAR(K$5))*(Working_Data!$C$2:$C$2000=TEXT(K$5,"mmmm")),0),MATCH($B23,Working_Data!$D$1:$AD$1,0))</f>
        <v>160.5</v>
      </c>
      <c r="L23" s="185" cm="1">
        <f t="array" ref="L23">INDEX(Working_Data!$D$2:$AD$2000,MATCH(1,(Working_Data!$A$2:$A$2000=$A23)*(Working_Data!$B$2:$B$2000=YEAR(L$5))*(Working_Data!$C$2:$C$2000=TEXT(L$5,"mmmm")),0),MATCH($B23,Working_Data!$D$1:$AD$1,0))</f>
        <v>161.5</v>
      </c>
      <c r="M23" s="185" cm="1">
        <f t="array" ref="M23">INDEX(Working_Data!$D$2:$AD$2000,MATCH(1,(Working_Data!$A$2:$A$2000=$A23)*(Working_Data!$B$2:$B$2000=YEAR(M$5))*(Working_Data!$C$2:$C$2000=TEXT(M$5,"mmmm")),0),MATCH($B23,Working_Data!$D$1:$AD$1,0))</f>
        <v>162.1</v>
      </c>
      <c r="N23" s="185" cm="1">
        <f t="array" ref="N23">INDEX(Working_Data!$D$2:$AD$2000,MATCH(1,(Working_Data!$A$2:$A$2000=$A23)*(Working_Data!$B$2:$B$2000=YEAR(N$5))*(Working_Data!$C$2:$C$2000=TEXT(N$5,"mmmm")),0),MATCH($B23,Working_Data!$D$1:$AD$1,0))</f>
        <v>162.1</v>
      </c>
      <c r="O23" s="185" cm="1">
        <f t="array" ref="O23">INDEX(Working_Data!$D$2:$AD$2000,MATCH(1,(Working_Data!$A$2:$A$2000=$A23)*(Working_Data!$B$2:$B$2000=YEAR(O$5))*(Working_Data!$C$2:$C$2000=TEXT(O$5,"mmmm")),0),MATCH($B23,Working_Data!$D$1:$AD$1,0))</f>
        <v>163.6</v>
      </c>
      <c r="P23" s="185" cm="1">
        <f t="array" ref="P23">INDEX(Working_Data!$D$2:$AD$2000,MATCH(1,(Working_Data!$A$2:$A$2000=$A23)*(Working_Data!$B$2:$B$2000=YEAR(P$5))*(Working_Data!$C$2:$C$2000=TEXT(P$5,"mmmm")),0),MATCH($B23,Working_Data!$D$1:$AD$1,0))</f>
        <v>164.2</v>
      </c>
      <c r="Q23" s="185" cm="1">
        <f t="array" ref="Q23">INDEX(Working_Data!$D$2:$AD$2000,MATCH(1,(Working_Data!$A$2:$A$2000=$A23)*(Working_Data!$B$2:$B$2000=YEAR(Q$5))*(Working_Data!$C$2:$C$2000=TEXT(Q$5,"mmmm")),0),MATCH($B23,Working_Data!$D$1:$AD$1,0))</f>
        <v>163.4</v>
      </c>
      <c r="R23" s="185" cm="1">
        <f t="array" ref="R23">INDEX(Working_Data!$D$2:$AD$2000,MATCH(1,(Working_Data!$A$2:$A$2000=$A23)*(Working_Data!$B$2:$B$2000=YEAR(R$5))*(Working_Data!$C$2:$C$2000=TEXT(R$5,"mmmm")),0),MATCH($B23,Working_Data!$D$1:$AD$1,0))</f>
        <v>164.5</v>
      </c>
      <c r="S23" s="185" cm="1">
        <f t="array" ref="S23">INDEX(Working_Data!$D$2:$AD$2000,MATCH(1,(Working_Data!$A$2:$A$2000=$A23)*(Working_Data!$B$2:$B$2000=YEAR(S$5))*(Working_Data!$C$2:$C$2000=TEXT(S$5,"mmmm")),0),MATCH($B23,Working_Data!$D$1:$AD$1,0))</f>
        <v>165.5</v>
      </c>
      <c r="T23" s="185" cm="1">
        <f t="array" ref="T23">INDEX(Working_Data!$D$2:$AD$2000,MATCH(1,(Working_Data!$A$2:$A$2000=$A23)*(Working_Data!$B$2:$B$2000=YEAR(T$5))*(Working_Data!$C$2:$C$2000=TEXT(T$5,"mmmm")),0),MATCH($B23,Working_Data!$D$1:$AD$1,0))</f>
        <v>165.3</v>
      </c>
      <c r="U23" s="185" cm="1">
        <f t="array" ref="U23">INDEX(Working_Data!$D$2:$AD$2000,MATCH(1,(Working_Data!$A$2:$A$2000=$A23)*(Working_Data!$B$2:$B$2000=YEAR(U$5))*(Working_Data!$C$2:$C$2000=TEXT(U$5,"mmmm")),0),MATCH($B23,Working_Data!$D$1:$AD$1,0))</f>
        <v>167</v>
      </c>
      <c r="V23" s="185" cm="1">
        <f t="array" ref="V23">INDEX(Working_Data!$D$2:$AD$2000,MATCH(1,(Working_Data!$A$2:$A$2000=$A23)*(Working_Data!$B$2:$B$2000=YEAR(V$5))*(Working_Data!$C$2:$C$2000=TEXT(V$5,"mmmm")),0),MATCH($B23,Working_Data!$D$1:$AD$1,0))</f>
        <v>167.5</v>
      </c>
      <c r="W23" s="185" cm="1">
        <f t="array" ref="W23">INDEX(Working_Data!$D$2:$AD$2000,MATCH(1,(Working_Data!$A$2:$A$2000=$A23)*(Working_Data!$B$2:$B$2000=YEAR(W$5))*(Working_Data!$C$2:$C$2000=TEXT(W$5,"mmmm")),0),MATCH($B23,Working_Data!$D$1:$AD$1,0))</f>
        <v>166.8</v>
      </c>
      <c r="X23" s="185" cm="1">
        <f t="array" ref="X23">INDEX(Working_Data!$D$2:$AD$2000,MATCH(1,(Working_Data!$A$2:$A$2000=$A23)*(Working_Data!$B$2:$B$2000=YEAR(X$5))*(Working_Data!$C$2:$C$2000=TEXT(X$5,"mmmm")),0),MATCH($B23,Working_Data!$D$1:$AD$1,0))</f>
        <v>167.8</v>
      </c>
      <c r="Y23" s="185" cm="1">
        <f t="array" ref="Y23">INDEX(Working_Data!$D$2:$AD$2000,MATCH(1,(Working_Data!$A$2:$A$2000=$A23)*(Working_Data!$B$2:$B$2000=YEAR(Y$5))*(Working_Data!$C$2:$C$2000=TEXT(Y$5,"mmmm")),0),MATCH($B23,Working_Data!$D$1:$AD$1,0))</f>
        <v>169</v>
      </c>
      <c r="Z23" s="185" cm="1">
        <f t="array" ref="Z23">INDEX(Working_Data!$D$2:$AD$2000,MATCH(1,(Working_Data!$A$2:$A$2000=$A23)*(Working_Data!$B$2:$B$2000=YEAR(Z$5))*(Working_Data!$C$2:$C$2000=TEXT(Z$5,"mmmm")),0),MATCH($B23,Working_Data!$D$1:$AD$1,0))</f>
        <v>169.5</v>
      </c>
      <c r="AA23" s="185" cm="1">
        <f t="array" ref="AA23">INDEX(Working_Data!$D$2:$AD$2000,MATCH(1,(Working_Data!$A$2:$A$2000=$A23)*(Working_Data!$B$2:$B$2000=YEAR(AA$5))*(Working_Data!$C$2:$C$2000=TEXT(AA$5,"mmmm")),0),MATCH($B23,Working_Data!$D$1:$AD$1,0))</f>
        <v>171.2</v>
      </c>
      <c r="AB23" s="185" cm="1">
        <f t="array" ref="AB23">INDEX(Working_Data!$D$2:$AD$2000,MATCH(1,(Working_Data!$A$2:$A$2000=$A23)*(Working_Data!$B$2:$B$2000=YEAR(AB$5))*(Working_Data!$C$2:$C$2000=TEXT(AB$5,"mmmm")),0),MATCH($B23,Working_Data!$D$1:$AD$1,0))</f>
        <v>171.8</v>
      </c>
      <c r="AC23" s="185" cm="1">
        <f t="array" ref="AC23">INDEX(Working_Data!$D$2:$AD$2000,MATCH(1,(Working_Data!$A$2:$A$2000=$A23)*(Working_Data!$B$2:$B$2000=YEAR(AC$5))*(Working_Data!$C$2:$C$2000=TEXT(AC$5,"mmmm")),0),MATCH($B23,Working_Data!$D$1:$AD$1,0))</f>
        <v>170.7</v>
      </c>
      <c r="AD23" s="185" cm="1">
        <f t="array" ref="AD23">INDEX(Working_Data!$D$2:$AD$2000,MATCH(1,(Working_Data!$A$2:$A$2000=$A23)*(Working_Data!$B$2:$B$2000=YEAR(AD$5))*(Working_Data!$C$2:$C$2000=TEXT(AD$5,"mmmm")),0),MATCH($B23,Working_Data!$D$1:$AD$1,0))</f>
        <v>172.1</v>
      </c>
      <c r="AE23" s="185" cm="1">
        <f t="array" ref="AE23">INDEX(Working_Data!$D$2:$AD$2000,MATCH(1,(Working_Data!$A$2:$A$2000=$A23)*(Working_Data!$B$2:$B$2000=YEAR(AE$5))*(Working_Data!$C$2:$C$2000=TEXT(AE$5,"mmmm")),0),MATCH($B23,Working_Data!$D$1:$AD$1,0))</f>
        <v>173.5</v>
      </c>
      <c r="AF23" s="185" cm="1">
        <f t="array" ref="AF23">INDEX(Working_Data!$D$2:$AD$2000,MATCH(1,(Working_Data!$A$2:$A$2000=$A23)*(Working_Data!$B$2:$B$2000=YEAR(AF$5))*(Working_Data!$C$2:$C$2000=TEXT(AF$5,"mmmm")),0),MATCH($B23,Working_Data!$D$1:$AD$1,0))</f>
        <v>173.5</v>
      </c>
      <c r="AG23" s="185" cm="1">
        <f t="array" ref="AG23">INDEX(Working_Data!$D$2:$AD$2000,MATCH(1,(Working_Data!$A$2:$A$2000=$A23)*(Working_Data!$B$2:$B$2000=YEAR(AG$5))*(Working_Data!$C$2:$C$2000=TEXT(AG$5,"mmmm")),0),MATCH($B23,Working_Data!$D$1:$AD$1,0))</f>
        <v>175.2</v>
      </c>
      <c r="AH23" s="185" cm="1">
        <f t="array" ref="AH23">INDEX(Working_Data!$D$2:$AD$2000,MATCH(1,(Working_Data!$A$2:$A$2000=$A23)*(Working_Data!$B$2:$B$2000=YEAR(AH$5))*(Working_Data!$C$2:$C$2000=TEXT(AH$5,"mmmm")),0),MATCH($B23,Working_Data!$D$1:$AD$1,0))</f>
        <v>175.6</v>
      </c>
      <c r="AI23" s="185" t="s">
        <v>47</v>
      </c>
      <c r="AJ23" s="185" t="s">
        <v>47</v>
      </c>
      <c r="AK23" s="185" t="s">
        <v>47</v>
      </c>
      <c r="AL23" s="185" t="s">
        <v>47</v>
      </c>
      <c r="AM23" s="185" t="s">
        <v>47</v>
      </c>
      <c r="AN23" s="185" t="s">
        <v>47</v>
      </c>
      <c r="AO23" s="186" t="s">
        <v>47</v>
      </c>
    </row>
    <row r="24" spans="1:41" s="181" customFormat="1" x14ac:dyDescent="0.3">
      <c r="A24" s="182" t="s">
        <v>34</v>
      </c>
      <c r="B24" s="183" t="s">
        <v>21</v>
      </c>
      <c r="C24" s="183" t="str">
        <f>_xlfn.XLOOKUP(B24,CPI_Category_Mapping[Category],CPI_Category_Mapping[New Food Category])</f>
        <v>Fuel and light</v>
      </c>
      <c r="D24" s="184">
        <f>CORREL(F24:AH24,'Crude Oil Price'!$B$5:$B$33)</f>
        <v>0.57023945887109884</v>
      </c>
      <c r="E24" s="185" cm="1">
        <f t="array" ref="E24">INDEX(Working_Data!$D$2:$AD$2000,MATCH(1,(Working_Data!$A$2:$A$2000=$A24)*(Working_Data!$B$2:$B$2000=YEAR(E$5))*(Working_Data!$C$2:$C$2000=TEXT(E$5,"mmmm")),0),MATCH($B24,Working_Data!$D$1:$AD$1,0))</f>
        <v>144.6</v>
      </c>
      <c r="F24" s="185" cm="1">
        <f t="array" ref="F24">INDEX(Working_Data!$D$2:$AD$2000,MATCH(1,(Working_Data!$A$2:$A$2000=$A24)*(Working_Data!$B$2:$B$2000=YEAR(F$5))*(Working_Data!$C$2:$C$2000=TEXT(F$5,"mmmm")),0),MATCH($B24,Working_Data!$D$1:$AD$1,0))</f>
        <v>147.9</v>
      </c>
      <c r="G24" s="185" cm="1">
        <f t="array" ref="G24">INDEX(Working_Data!$D$2:$AD$2000,MATCH(1,(Working_Data!$A$2:$A$2000=$A24)*(Working_Data!$B$2:$B$2000=YEAR(G$5))*(Working_Data!$C$2:$C$2000=TEXT(G$5,"mmmm")),0),MATCH($B24,Working_Data!$D$1:$AD$1,0))</f>
        <v>152.4</v>
      </c>
      <c r="H24" s="185" cm="1">
        <f t="array" ref="H24">INDEX(Working_Data!$D$2:$AD$2000,MATCH(1,(Working_Data!$A$2:$A$2000=$A24)*(Working_Data!$B$2:$B$2000=YEAR(H$5))*(Working_Data!$C$2:$C$2000=TEXT(H$5,"mmmm")),0),MATCH($B24,Working_Data!$D$1:$AD$1,0))</f>
        <v>155.5</v>
      </c>
      <c r="I24" s="185" cm="1">
        <f t="array" ref="I24">INDEX(Working_Data!$D$2:$AD$2000,MATCH(1,(Working_Data!$A$2:$A$2000=$A24)*(Working_Data!$B$2:$B$2000=YEAR(I$5))*(Working_Data!$C$2:$C$2000=TEXT(I$5,"mmmm")),0),MATCH($B24,Working_Data!$D$1:$AD$1,0))</f>
        <v>155.6</v>
      </c>
      <c r="J24" s="185" cm="1">
        <f t="array" ref="J24">INDEX(Working_Data!$D$2:$AD$2000,MATCH(1,(Working_Data!$A$2:$A$2000=$A24)*(Working_Data!$B$2:$B$2000=YEAR(J$5))*(Working_Data!$C$2:$C$2000=TEXT(J$5,"mmmm")),0),MATCH($B24,Working_Data!$D$1:$AD$1,0))</f>
        <v>159.4</v>
      </c>
      <c r="K24" s="185" cm="1">
        <f t="array" ref="K24">INDEX(Working_Data!$D$2:$AD$2000,MATCH(1,(Working_Data!$A$2:$A$2000=$A24)*(Working_Data!$B$2:$B$2000=YEAR(K$5))*(Working_Data!$C$2:$C$2000=TEXT(K$5,"mmmm")),0),MATCH($B24,Working_Data!$D$1:$AD$1,0))</f>
        <v>159.80000000000001</v>
      </c>
      <c r="L24" s="185" cm="1">
        <f t="array" ref="L24">INDEX(Working_Data!$D$2:$AD$2000,MATCH(1,(Working_Data!$A$2:$A$2000=$A24)*(Working_Data!$B$2:$B$2000=YEAR(L$5))*(Working_Data!$C$2:$C$2000=TEXT(L$5,"mmmm")),0),MATCH($B24,Working_Data!$D$1:$AD$1,0))</f>
        <v>160.69999999999999</v>
      </c>
      <c r="M24" s="185" cm="1">
        <f t="array" ref="M24">INDEX(Working_Data!$D$2:$AD$2000,MATCH(1,(Working_Data!$A$2:$A$2000=$A24)*(Working_Data!$B$2:$B$2000=YEAR(M$5))*(Working_Data!$C$2:$C$2000=TEXT(M$5,"mmmm")),0),MATCH($B24,Working_Data!$D$1:$AD$1,0))</f>
        <v>162.6</v>
      </c>
      <c r="N24" s="185" cm="1">
        <f t="array" ref="N24">INDEX(Working_Data!$D$2:$AD$2000,MATCH(1,(Working_Data!$A$2:$A$2000=$A24)*(Working_Data!$B$2:$B$2000=YEAR(N$5))*(Working_Data!$C$2:$C$2000=TEXT(N$5,"mmmm")),0),MATCH($B24,Working_Data!$D$1:$AD$1,0))</f>
        <v>162.6</v>
      </c>
      <c r="O24" s="185" cm="1">
        <f t="array" ref="O24">INDEX(Working_Data!$D$2:$AD$2000,MATCH(1,(Working_Data!$A$2:$A$2000=$A24)*(Working_Data!$B$2:$B$2000=YEAR(O$5))*(Working_Data!$C$2:$C$2000=TEXT(O$5,"mmmm")),0),MATCH($B24,Working_Data!$D$1:$AD$1,0))</f>
        <v>164.2</v>
      </c>
      <c r="P24" s="185" cm="1">
        <f t="array" ref="P24">INDEX(Working_Data!$D$2:$AD$2000,MATCH(1,(Working_Data!$A$2:$A$2000=$A24)*(Working_Data!$B$2:$B$2000=YEAR(P$5))*(Working_Data!$C$2:$C$2000=TEXT(P$5,"mmmm")),0),MATCH($B24,Working_Data!$D$1:$AD$1,0))</f>
        <v>163.9</v>
      </c>
      <c r="Q24" s="185" cm="1">
        <f t="array" ref="Q24">INDEX(Working_Data!$D$2:$AD$2000,MATCH(1,(Working_Data!$A$2:$A$2000=$A24)*(Working_Data!$B$2:$B$2000=YEAR(Q$5))*(Working_Data!$C$2:$C$2000=TEXT(Q$5,"mmmm")),0),MATCH($B24,Working_Data!$D$1:$AD$1,0))</f>
        <v>164.1</v>
      </c>
      <c r="R24" s="185" cm="1">
        <f t="array" ref="R24">INDEX(Working_Data!$D$2:$AD$2000,MATCH(1,(Working_Data!$A$2:$A$2000=$A24)*(Working_Data!$B$2:$B$2000=YEAR(R$5))*(Working_Data!$C$2:$C$2000=TEXT(R$5,"mmmm")),0),MATCH($B24,Working_Data!$D$1:$AD$1,0))</f>
        <v>164.2</v>
      </c>
      <c r="S24" s="185" cm="1">
        <f t="array" ref="S24">INDEX(Working_Data!$D$2:$AD$2000,MATCH(1,(Working_Data!$A$2:$A$2000=$A24)*(Working_Data!$B$2:$B$2000=YEAR(S$5))*(Working_Data!$C$2:$C$2000=TEXT(S$5,"mmmm")),0),MATCH($B24,Working_Data!$D$1:$AD$1,0))</f>
        <v>165.7</v>
      </c>
      <c r="T24" s="185" cm="1">
        <f t="array" ref="T24">INDEX(Working_Data!$D$2:$AD$2000,MATCH(1,(Working_Data!$A$2:$A$2000=$A24)*(Working_Data!$B$2:$B$2000=YEAR(T$5))*(Working_Data!$C$2:$C$2000=TEXT(T$5,"mmmm")),0),MATCH($B24,Working_Data!$D$1:$AD$1,0))</f>
        <v>167.2</v>
      </c>
      <c r="U24" s="185" cm="1">
        <f t="array" ref="U24">INDEX(Working_Data!$D$2:$AD$2000,MATCH(1,(Working_Data!$A$2:$A$2000=$A24)*(Working_Data!$B$2:$B$2000=YEAR(U$5))*(Working_Data!$C$2:$C$2000=TEXT(U$5,"mmmm")),0),MATCH($B24,Working_Data!$D$1:$AD$1,0))</f>
        <v>172.2</v>
      </c>
      <c r="V24" s="185" cm="1">
        <f t="array" ref="V24">INDEX(Working_Data!$D$2:$AD$2000,MATCH(1,(Working_Data!$A$2:$A$2000=$A24)*(Working_Data!$B$2:$B$2000=YEAR(V$5))*(Working_Data!$C$2:$C$2000=TEXT(V$5,"mmmm")),0),MATCH($B24,Working_Data!$D$1:$AD$1,0))</f>
        <v>174.6</v>
      </c>
      <c r="W24" s="185" cm="1">
        <f t="array" ref="W24">INDEX(Working_Data!$D$2:$AD$2000,MATCH(1,(Working_Data!$A$2:$A$2000=$A24)*(Working_Data!$B$2:$B$2000=YEAR(W$5))*(Working_Data!$C$2:$C$2000=TEXT(W$5,"mmmm")),0),MATCH($B24,Working_Data!$D$1:$AD$1,0))</f>
        <v>176</v>
      </c>
      <c r="X24" s="185" cm="1">
        <f t="array" ref="X24">INDEX(Working_Data!$D$2:$AD$2000,MATCH(1,(Working_Data!$A$2:$A$2000=$A24)*(Working_Data!$B$2:$B$2000=YEAR(X$5))*(Working_Data!$C$2:$C$2000=TEXT(X$5,"mmmm")),0),MATCH($B24,Working_Data!$D$1:$AD$1,0))</f>
        <v>179.6</v>
      </c>
      <c r="Y24" s="185" cm="1">
        <f t="array" ref="Y24">INDEX(Working_Data!$D$2:$AD$2000,MATCH(1,(Working_Data!$A$2:$A$2000=$A24)*(Working_Data!$B$2:$B$2000=YEAR(Y$5))*(Working_Data!$C$2:$C$2000=TEXT(Y$5,"mmmm")),0),MATCH($B24,Working_Data!$D$1:$AD$1,0))</f>
        <v>178.8</v>
      </c>
      <c r="Z24" s="185" cm="1">
        <f t="array" ref="Z24">INDEX(Working_Data!$D$2:$AD$2000,MATCH(1,(Working_Data!$A$2:$A$2000=$A24)*(Working_Data!$B$2:$B$2000=YEAR(Z$5))*(Working_Data!$C$2:$C$2000=TEXT(Z$5,"mmmm")),0),MATCH($B24,Working_Data!$D$1:$AD$1,0))</f>
        <v>179.5</v>
      </c>
      <c r="AA24" s="185" cm="1">
        <f t="array" ref="AA24">INDEX(Working_Data!$D$2:$AD$2000,MATCH(1,(Working_Data!$A$2:$A$2000=$A24)*(Working_Data!$B$2:$B$2000=YEAR(AA$5))*(Working_Data!$C$2:$C$2000=TEXT(AA$5,"mmmm")),0),MATCH($B24,Working_Data!$D$1:$AD$1,0))</f>
        <v>180.5</v>
      </c>
      <c r="AB24" s="185" cm="1">
        <f t="array" ref="AB24">INDEX(Working_Data!$D$2:$AD$2000,MATCH(1,(Working_Data!$A$2:$A$2000=$A24)*(Working_Data!$B$2:$B$2000=YEAR(AB$5))*(Working_Data!$C$2:$C$2000=TEXT(AB$5,"mmmm")),0),MATCH($B24,Working_Data!$D$1:$AD$1,0))</f>
        <v>181.3</v>
      </c>
      <c r="AC24" s="185" cm="1">
        <f t="array" ref="AC24">INDEX(Working_Data!$D$2:$AD$2000,MATCH(1,(Working_Data!$A$2:$A$2000=$A24)*(Working_Data!$B$2:$B$2000=YEAR(AC$5))*(Working_Data!$C$2:$C$2000=TEXT(AC$5,"mmmm")),0),MATCH($B24,Working_Data!$D$1:$AD$1,0))</f>
        <v>182</v>
      </c>
      <c r="AD24" s="185" cm="1">
        <f t="array" ref="AD24">INDEX(Working_Data!$D$2:$AD$2000,MATCH(1,(Working_Data!$A$2:$A$2000=$A24)*(Working_Data!$B$2:$B$2000=YEAR(AD$5))*(Working_Data!$C$2:$C$2000=TEXT(AD$5,"mmmm")),0),MATCH($B24,Working_Data!$D$1:$AD$1,0))</f>
        <v>182</v>
      </c>
      <c r="AE24" s="185" cm="1">
        <f t="array" ref="AE24">INDEX(Working_Data!$D$2:$AD$2000,MATCH(1,(Working_Data!$A$2:$A$2000=$A24)*(Working_Data!$B$2:$B$2000=YEAR(AE$5))*(Working_Data!$C$2:$C$2000=TEXT(AE$5,"mmmm")),0),MATCH($B24,Working_Data!$D$1:$AD$1,0))</f>
        <v>182.1</v>
      </c>
      <c r="AF24" s="185" cm="1">
        <f t="array" ref="AF24">INDEX(Working_Data!$D$2:$AD$2000,MATCH(1,(Working_Data!$A$2:$A$2000=$A24)*(Working_Data!$B$2:$B$2000=YEAR(AF$5))*(Working_Data!$C$2:$C$2000=TEXT(AF$5,"mmmm")),0),MATCH($B24,Working_Data!$D$1:$AD$1,0))</f>
        <v>181.9</v>
      </c>
      <c r="AG24" s="185" cm="1">
        <f t="array" ref="AG24">INDEX(Working_Data!$D$2:$AD$2000,MATCH(1,(Working_Data!$A$2:$A$2000=$A24)*(Working_Data!$B$2:$B$2000=YEAR(AG$5))*(Working_Data!$C$2:$C$2000=TEXT(AG$5,"mmmm")),0),MATCH($B24,Working_Data!$D$1:$AD$1,0))</f>
        <v>181.7</v>
      </c>
      <c r="AH24" s="185" cm="1">
        <f t="array" ref="AH24">INDEX(Working_Data!$D$2:$AD$2000,MATCH(1,(Working_Data!$A$2:$A$2000=$A24)*(Working_Data!$B$2:$B$2000=YEAR(AH$5))*(Working_Data!$C$2:$C$2000=TEXT(AH$5,"mmmm")),0),MATCH($B24,Working_Data!$D$1:$AD$1,0))</f>
        <v>182.8</v>
      </c>
      <c r="AI24" s="185" t="s">
        <v>47</v>
      </c>
      <c r="AJ24" s="185" t="s">
        <v>47</v>
      </c>
      <c r="AK24" s="185" t="s">
        <v>47</v>
      </c>
      <c r="AL24" s="185" t="s">
        <v>47</v>
      </c>
      <c r="AM24" s="185" t="s">
        <v>47</v>
      </c>
      <c r="AN24" s="185" t="s">
        <v>47</v>
      </c>
      <c r="AO24" s="186" t="s">
        <v>47</v>
      </c>
    </row>
    <row r="25" spans="1:41" s="181" customFormat="1" ht="28.8" x14ac:dyDescent="0.3">
      <c r="A25" s="182" t="s">
        <v>34</v>
      </c>
      <c r="B25" s="183" t="s">
        <v>22</v>
      </c>
      <c r="C25" s="183" t="str">
        <f>_xlfn.XLOOKUP(B25,CPI_Category_Mapping[Category],CPI_Category_Mapping[New Food Category])</f>
        <v>Housing</v>
      </c>
      <c r="D25" s="184">
        <f>CORREL(F25:AH25,'Crude Oil Price'!$B$5:$B$33)</f>
        <v>0.5059366686491048</v>
      </c>
      <c r="E25" s="185" cm="1">
        <f t="array" ref="E25">INDEX(Working_Data!$D$2:$AD$2000,MATCH(1,(Working_Data!$A$2:$A$2000=$A25)*(Working_Data!$B$2:$B$2000=YEAR(E$5))*(Working_Data!$C$2:$C$2000=TEXT(E$5,"mmmm")),0),MATCH($B25,Working_Data!$D$1:$AD$1,0))</f>
        <v>149.69999999999999</v>
      </c>
      <c r="F25" s="185" cm="1">
        <f t="array" ref="F25">INDEX(Working_Data!$D$2:$AD$2000,MATCH(1,(Working_Data!$A$2:$A$2000=$A25)*(Working_Data!$B$2:$B$2000=YEAR(F$5))*(Working_Data!$C$2:$C$2000=TEXT(F$5,"mmmm")),0),MATCH($B25,Working_Data!$D$1:$AD$1,0))</f>
        <v>150</v>
      </c>
      <c r="G25" s="185" cm="1">
        <f t="array" ref="G25">INDEX(Working_Data!$D$2:$AD$2000,MATCH(1,(Working_Data!$A$2:$A$2000=$A25)*(Working_Data!$B$2:$B$2000=YEAR(G$5))*(Working_Data!$C$2:$C$2000=TEXT(G$5,"mmmm")),0),MATCH($B25,Working_Data!$D$1:$AD$1,0))</f>
        <v>150.9</v>
      </c>
      <c r="H25" s="185" cm="1">
        <f t="array" ref="H25">INDEX(Working_Data!$D$2:$AD$2000,MATCH(1,(Working_Data!$A$2:$A$2000=$A25)*(Working_Data!$B$2:$B$2000=YEAR(H$5))*(Working_Data!$C$2:$C$2000=TEXT(H$5,"mmmm")),0),MATCH($B25,Working_Data!$D$1:$AD$1,0))</f>
        <v>151.19999999999999</v>
      </c>
      <c r="I25" s="185" cm="1">
        <f t="array" ref="I25">INDEX(Working_Data!$D$2:$AD$2000,MATCH(1,(Working_Data!$A$2:$A$2000=$A25)*(Working_Data!$B$2:$B$2000=YEAR(I$5))*(Working_Data!$C$2:$C$2000=TEXT(I$5,"mmmm")),0),MATCH($B25,Working_Data!$D$1:$AD$1,0))</f>
        <v>151.80000000000001</v>
      </c>
      <c r="J25" s="185" cm="1">
        <f t="array" ref="J25">INDEX(Working_Data!$D$2:$AD$2000,MATCH(1,(Working_Data!$A$2:$A$2000=$A25)*(Working_Data!$B$2:$B$2000=YEAR(J$5))*(Working_Data!$C$2:$C$2000=TEXT(J$5,"mmmm")),0),MATCH($B25,Working_Data!$D$1:$AD$1,0))</f>
        <v>154.69999999999999</v>
      </c>
      <c r="K25" s="185" cm="1">
        <f t="array" ref="K25">INDEX(Working_Data!$D$2:$AD$2000,MATCH(1,(Working_Data!$A$2:$A$2000=$A25)*(Working_Data!$B$2:$B$2000=YEAR(K$5))*(Working_Data!$C$2:$C$2000=TEXT(K$5,"mmmm")),0),MATCH($B25,Working_Data!$D$1:$AD$1,0))</f>
        <v>154.80000000000001</v>
      </c>
      <c r="L25" s="185" cm="1">
        <f t="array" ref="L25">INDEX(Working_Data!$D$2:$AD$2000,MATCH(1,(Working_Data!$A$2:$A$2000=$A25)*(Working_Data!$B$2:$B$2000=YEAR(L$5))*(Working_Data!$C$2:$C$2000=TEXT(L$5,"mmmm")),0),MATCH($B25,Working_Data!$D$1:$AD$1,0))</f>
        <v>155.80000000000001</v>
      </c>
      <c r="M25" s="185" cm="1">
        <f t="array" ref="M25">INDEX(Working_Data!$D$2:$AD$2000,MATCH(1,(Working_Data!$A$2:$A$2000=$A25)*(Working_Data!$B$2:$B$2000=YEAR(M$5))*(Working_Data!$C$2:$C$2000=TEXT(M$5,"mmmm")),0),MATCH($B25,Working_Data!$D$1:$AD$1,0))</f>
        <v>157.5</v>
      </c>
      <c r="N25" s="185" cm="1">
        <f t="array" ref="N25">INDEX(Working_Data!$D$2:$AD$2000,MATCH(1,(Working_Data!$A$2:$A$2000=$A25)*(Working_Data!$B$2:$B$2000=YEAR(N$5))*(Working_Data!$C$2:$C$2000=TEXT(N$5,"mmmm")),0),MATCH($B25,Working_Data!$D$1:$AD$1,0))</f>
        <v>157.5</v>
      </c>
      <c r="O25" s="185" cm="1">
        <f t="array" ref="O25">INDEX(Working_Data!$D$2:$AD$2000,MATCH(1,(Working_Data!$A$2:$A$2000=$A25)*(Working_Data!$B$2:$B$2000=YEAR(O$5))*(Working_Data!$C$2:$C$2000=TEXT(O$5,"mmmm")),0),MATCH($B25,Working_Data!$D$1:$AD$1,0))</f>
        <v>158.4</v>
      </c>
      <c r="P25" s="185" cm="1">
        <f t="array" ref="P25">INDEX(Working_Data!$D$2:$AD$2000,MATCH(1,(Working_Data!$A$2:$A$2000=$A25)*(Working_Data!$B$2:$B$2000=YEAR(P$5))*(Working_Data!$C$2:$C$2000=TEXT(P$5,"mmmm")),0),MATCH($B25,Working_Data!$D$1:$AD$1,0))</f>
        <v>159.30000000000001</v>
      </c>
      <c r="Q25" s="185" cm="1">
        <f t="array" ref="Q25">INDEX(Working_Data!$D$2:$AD$2000,MATCH(1,(Working_Data!$A$2:$A$2000=$A25)*(Working_Data!$B$2:$B$2000=YEAR(Q$5))*(Working_Data!$C$2:$C$2000=TEXT(Q$5,"mmmm")),0),MATCH($B25,Working_Data!$D$1:$AD$1,0))</f>
        <v>160.19999999999999</v>
      </c>
      <c r="R25" s="185" cm="1">
        <f t="array" ref="R25">INDEX(Working_Data!$D$2:$AD$2000,MATCH(1,(Working_Data!$A$2:$A$2000=$A25)*(Working_Data!$B$2:$B$2000=YEAR(R$5))*(Working_Data!$C$2:$C$2000=TEXT(R$5,"mmmm")),0),MATCH($B25,Working_Data!$D$1:$AD$1,0))</f>
        <v>161.1</v>
      </c>
      <c r="S25" s="185" cm="1">
        <f t="array" ref="S25">INDEX(Working_Data!$D$2:$AD$2000,MATCH(1,(Working_Data!$A$2:$A$2000=$A25)*(Working_Data!$B$2:$B$2000=YEAR(S$5))*(Working_Data!$C$2:$C$2000=TEXT(S$5,"mmmm")),0),MATCH($B25,Working_Data!$D$1:$AD$1,0))</f>
        <v>161.80000000000001</v>
      </c>
      <c r="T25" s="185" cm="1">
        <f t="array" ref="T25">INDEX(Working_Data!$D$2:$AD$2000,MATCH(1,(Working_Data!$A$2:$A$2000=$A25)*(Working_Data!$B$2:$B$2000=YEAR(T$5))*(Working_Data!$C$2:$C$2000=TEXT(T$5,"mmmm")),0),MATCH($B25,Working_Data!$D$1:$AD$1,0))</f>
        <v>162.80000000000001</v>
      </c>
      <c r="U25" s="185" cm="1">
        <f t="array" ref="U25">INDEX(Working_Data!$D$2:$AD$2000,MATCH(1,(Working_Data!$A$2:$A$2000=$A25)*(Working_Data!$B$2:$B$2000=YEAR(U$5))*(Working_Data!$C$2:$C$2000=TEXT(U$5,"mmmm")),0),MATCH($B25,Working_Data!$D$1:$AD$1,0))</f>
        <v>164</v>
      </c>
      <c r="V25" s="185" cm="1">
        <f t="array" ref="V25">INDEX(Working_Data!$D$2:$AD$2000,MATCH(1,(Working_Data!$A$2:$A$2000=$A25)*(Working_Data!$B$2:$B$2000=YEAR(V$5))*(Working_Data!$C$2:$C$2000=TEXT(V$5,"mmmm")),0),MATCH($B25,Working_Data!$D$1:$AD$1,0))</f>
        <v>165.2</v>
      </c>
      <c r="W25" s="185" cm="1">
        <f t="array" ref="W25">INDEX(Working_Data!$D$2:$AD$2000,MATCH(1,(Working_Data!$A$2:$A$2000=$A25)*(Working_Data!$B$2:$B$2000=YEAR(W$5))*(Working_Data!$C$2:$C$2000=TEXT(W$5,"mmmm")),0),MATCH($B25,Working_Data!$D$1:$AD$1,0))</f>
        <v>166.4</v>
      </c>
      <c r="X25" s="185" cm="1">
        <f t="array" ref="X25">INDEX(Working_Data!$D$2:$AD$2000,MATCH(1,(Working_Data!$A$2:$A$2000=$A25)*(Working_Data!$B$2:$B$2000=YEAR(X$5))*(Working_Data!$C$2:$C$2000=TEXT(X$5,"mmmm")),0),MATCH($B25,Working_Data!$D$1:$AD$1,0))</f>
        <v>167.4</v>
      </c>
      <c r="Y25" s="185" cm="1">
        <f t="array" ref="Y25">INDEX(Working_Data!$D$2:$AD$2000,MATCH(1,(Working_Data!$A$2:$A$2000=$A25)*(Working_Data!$B$2:$B$2000=YEAR(Y$5))*(Working_Data!$C$2:$C$2000=TEXT(Y$5,"mmmm")),0),MATCH($B25,Working_Data!$D$1:$AD$1,0))</f>
        <v>168.5</v>
      </c>
      <c r="Z25" s="185" cm="1">
        <f t="array" ref="Z25">INDEX(Working_Data!$D$2:$AD$2000,MATCH(1,(Working_Data!$A$2:$A$2000=$A25)*(Working_Data!$B$2:$B$2000=YEAR(Z$5))*(Working_Data!$C$2:$C$2000=TEXT(Z$5,"mmmm")),0),MATCH($B25,Working_Data!$D$1:$AD$1,0))</f>
        <v>169.5</v>
      </c>
      <c r="AA25" s="185" cm="1">
        <f t="array" ref="AA25">INDEX(Working_Data!$D$2:$AD$2000,MATCH(1,(Working_Data!$A$2:$A$2000=$A25)*(Working_Data!$B$2:$B$2000=YEAR(AA$5))*(Working_Data!$C$2:$C$2000=TEXT(AA$5,"mmmm")),0),MATCH($B25,Working_Data!$D$1:$AD$1,0))</f>
        <v>170.4</v>
      </c>
      <c r="AB25" s="185" cm="1">
        <f t="array" ref="AB25">INDEX(Working_Data!$D$2:$AD$2000,MATCH(1,(Working_Data!$A$2:$A$2000=$A25)*(Working_Data!$B$2:$B$2000=YEAR(AB$5))*(Working_Data!$C$2:$C$2000=TEXT(AB$5,"mmmm")),0),MATCH($B25,Working_Data!$D$1:$AD$1,0))</f>
        <v>171.4</v>
      </c>
      <c r="AC25" s="185" cm="1">
        <f t="array" ref="AC25">INDEX(Working_Data!$D$2:$AD$2000,MATCH(1,(Working_Data!$A$2:$A$2000=$A25)*(Working_Data!$B$2:$B$2000=YEAR(AC$5))*(Working_Data!$C$2:$C$2000=TEXT(AC$5,"mmmm")),0),MATCH($B25,Working_Data!$D$1:$AD$1,0))</f>
        <v>172.1</v>
      </c>
      <c r="AD25" s="185" cm="1">
        <f t="array" ref="AD25">INDEX(Working_Data!$D$2:$AD$2000,MATCH(1,(Working_Data!$A$2:$A$2000=$A25)*(Working_Data!$B$2:$B$2000=YEAR(AD$5))*(Working_Data!$C$2:$C$2000=TEXT(AD$5,"mmmm")),0),MATCH($B25,Working_Data!$D$1:$AD$1,0))</f>
        <v>172.9</v>
      </c>
      <c r="AE25" s="185" cm="1">
        <f t="array" ref="AE25">INDEX(Working_Data!$D$2:$AD$2000,MATCH(1,(Working_Data!$A$2:$A$2000=$A25)*(Working_Data!$B$2:$B$2000=YEAR(AE$5))*(Working_Data!$C$2:$C$2000=TEXT(AE$5,"mmmm")),0),MATCH($B25,Working_Data!$D$1:$AD$1,0))</f>
        <v>174.2</v>
      </c>
      <c r="AF25" s="185" cm="1">
        <f t="array" ref="AF25">INDEX(Working_Data!$D$2:$AD$2000,MATCH(1,(Working_Data!$A$2:$A$2000=$A25)*(Working_Data!$B$2:$B$2000=YEAR(AF$5))*(Working_Data!$C$2:$C$2000=TEXT(AF$5,"mmmm")),0),MATCH($B25,Working_Data!$D$1:$AD$1,0))</f>
        <v>174.2</v>
      </c>
      <c r="AG25" s="185" cm="1">
        <f t="array" ref="AG25">INDEX(Working_Data!$D$2:$AD$2000,MATCH(1,(Working_Data!$A$2:$A$2000=$A25)*(Working_Data!$B$2:$B$2000=YEAR(AG$5))*(Working_Data!$C$2:$C$2000=TEXT(AG$5,"mmmm")),0),MATCH($B25,Working_Data!$D$1:$AD$1,0))</f>
        <v>174.6</v>
      </c>
      <c r="AH25" s="185" cm="1">
        <f t="array" ref="AH25">INDEX(Working_Data!$D$2:$AD$2000,MATCH(1,(Working_Data!$A$2:$A$2000=$A25)*(Working_Data!$B$2:$B$2000=YEAR(AH$5))*(Working_Data!$C$2:$C$2000=TEXT(AH$5,"mmmm")),0),MATCH($B25,Working_Data!$D$1:$AD$1,0))</f>
        <v>175.2</v>
      </c>
      <c r="AI25" s="185" t="s">
        <v>47</v>
      </c>
      <c r="AJ25" s="185" t="s">
        <v>47</v>
      </c>
      <c r="AK25" s="185" t="s">
        <v>47</v>
      </c>
      <c r="AL25" s="185" t="s">
        <v>47</v>
      </c>
      <c r="AM25" s="185" t="s">
        <v>47</v>
      </c>
      <c r="AN25" s="185" t="s">
        <v>47</v>
      </c>
      <c r="AO25" s="186" t="s">
        <v>47</v>
      </c>
    </row>
    <row r="26" spans="1:41" s="181" customFormat="1" x14ac:dyDescent="0.3">
      <c r="A26" s="182" t="s">
        <v>34</v>
      </c>
      <c r="B26" s="183" t="s">
        <v>23</v>
      </c>
      <c r="C26" s="183" t="str">
        <f>_xlfn.XLOOKUP(B26,CPI_Category_Mapping[Category],CPI_Category_Mapping[New Food Category])</f>
        <v>Health</v>
      </c>
      <c r="D26" s="184">
        <f>CORREL(F26:AH26,'Crude Oil Price'!$B$5:$B$33)</f>
        <v>0.47641269191127644</v>
      </c>
      <c r="E26" s="185" cm="1">
        <f t="array" ref="E26">INDEX(Working_Data!$D$2:$AD$2000,MATCH(1,(Working_Data!$A$2:$A$2000=$A26)*(Working_Data!$B$2:$B$2000=YEAR(E$5))*(Working_Data!$C$2:$C$2000=TEXT(E$5,"mmmm")),0),MATCH($B26,Working_Data!$D$1:$AD$1,0))</f>
        <v>158.30000000000001</v>
      </c>
      <c r="F26" s="185" cm="1">
        <f t="array" ref="F26">INDEX(Working_Data!$D$2:$AD$2000,MATCH(1,(Working_Data!$A$2:$A$2000=$A26)*(Working_Data!$B$2:$B$2000=YEAR(F$5))*(Working_Data!$C$2:$C$2000=TEXT(F$5,"mmmm")),0),MATCH($B26,Working_Data!$D$1:$AD$1,0))</f>
        <v>159.30000000000001</v>
      </c>
      <c r="G26" s="185" cm="1">
        <f t="array" ref="G26">INDEX(Working_Data!$D$2:$AD$2000,MATCH(1,(Working_Data!$A$2:$A$2000=$A26)*(Working_Data!$B$2:$B$2000=YEAR(G$5))*(Working_Data!$C$2:$C$2000=TEXT(G$5,"mmmm")),0),MATCH($B26,Working_Data!$D$1:$AD$1,0))</f>
        <v>161.30000000000001</v>
      </c>
      <c r="H26" s="185" cm="1">
        <f t="array" ref="H26">INDEX(Working_Data!$D$2:$AD$2000,MATCH(1,(Working_Data!$A$2:$A$2000=$A26)*(Working_Data!$B$2:$B$2000=YEAR(H$5))*(Working_Data!$C$2:$C$2000=TEXT(H$5,"mmmm")),0),MATCH($B26,Working_Data!$D$1:$AD$1,0))</f>
        <v>161.69999999999999</v>
      </c>
      <c r="I26" s="185" cm="1">
        <f t="array" ref="I26">INDEX(Working_Data!$D$2:$AD$2000,MATCH(1,(Working_Data!$A$2:$A$2000=$A26)*(Working_Data!$B$2:$B$2000=YEAR(I$5))*(Working_Data!$C$2:$C$2000=TEXT(I$5,"mmmm")),0),MATCH($B26,Working_Data!$D$1:$AD$1,0))</f>
        <v>162.30000000000001</v>
      </c>
      <c r="J26" s="185" cm="1">
        <f t="array" ref="J26">INDEX(Working_Data!$D$2:$AD$2000,MATCH(1,(Working_Data!$A$2:$A$2000=$A26)*(Working_Data!$B$2:$B$2000=YEAR(J$5))*(Working_Data!$C$2:$C$2000=TEXT(J$5,"mmmm")),0),MATCH($B26,Working_Data!$D$1:$AD$1,0))</f>
        <v>165.8</v>
      </c>
      <c r="K26" s="185" cm="1">
        <f t="array" ref="K26">INDEX(Working_Data!$D$2:$AD$2000,MATCH(1,(Working_Data!$A$2:$A$2000=$A26)*(Working_Data!$B$2:$B$2000=YEAR(K$5))*(Working_Data!$C$2:$C$2000=TEXT(K$5,"mmmm")),0),MATCH($B26,Working_Data!$D$1:$AD$1,0))</f>
        <v>166.3</v>
      </c>
      <c r="L26" s="185" cm="1">
        <f t="array" ref="L26">INDEX(Working_Data!$D$2:$AD$2000,MATCH(1,(Working_Data!$A$2:$A$2000=$A26)*(Working_Data!$B$2:$B$2000=YEAR(L$5))*(Working_Data!$C$2:$C$2000=TEXT(L$5,"mmmm")),0),MATCH($B26,Working_Data!$D$1:$AD$1,0))</f>
        <v>167</v>
      </c>
      <c r="M26" s="185" cm="1">
        <f t="array" ref="M26">INDEX(Working_Data!$D$2:$AD$2000,MATCH(1,(Working_Data!$A$2:$A$2000=$A26)*(Working_Data!$B$2:$B$2000=YEAR(M$5))*(Working_Data!$C$2:$C$2000=TEXT(M$5,"mmmm")),0),MATCH($B26,Working_Data!$D$1:$AD$1,0))</f>
        <v>168.4</v>
      </c>
      <c r="N26" s="185" cm="1">
        <f t="array" ref="N26">INDEX(Working_Data!$D$2:$AD$2000,MATCH(1,(Working_Data!$A$2:$A$2000=$A26)*(Working_Data!$B$2:$B$2000=YEAR(N$5))*(Working_Data!$C$2:$C$2000=TEXT(N$5,"mmmm")),0),MATCH($B26,Working_Data!$D$1:$AD$1,0))</f>
        <v>168.4</v>
      </c>
      <c r="O26" s="185" cm="1">
        <f t="array" ref="O26">INDEX(Working_Data!$D$2:$AD$2000,MATCH(1,(Working_Data!$A$2:$A$2000=$A26)*(Working_Data!$B$2:$B$2000=YEAR(O$5))*(Working_Data!$C$2:$C$2000=TEXT(O$5,"mmmm")),0),MATCH($B26,Working_Data!$D$1:$AD$1,0))</f>
        <v>169.1</v>
      </c>
      <c r="P26" s="185" cm="1">
        <f t="array" ref="P26">INDEX(Working_Data!$D$2:$AD$2000,MATCH(1,(Working_Data!$A$2:$A$2000=$A26)*(Working_Data!$B$2:$B$2000=YEAR(P$5))*(Working_Data!$C$2:$C$2000=TEXT(P$5,"mmmm")),0),MATCH($B26,Working_Data!$D$1:$AD$1,0))</f>
        <v>169.9</v>
      </c>
      <c r="Q26" s="185" cm="1">
        <f t="array" ref="Q26">INDEX(Working_Data!$D$2:$AD$2000,MATCH(1,(Working_Data!$A$2:$A$2000=$A26)*(Working_Data!$B$2:$B$2000=YEAR(Q$5))*(Working_Data!$C$2:$C$2000=TEXT(Q$5,"mmmm")),0),MATCH($B26,Working_Data!$D$1:$AD$1,0))</f>
        <v>170.6</v>
      </c>
      <c r="R26" s="185" cm="1">
        <f t="array" ref="R26">INDEX(Working_Data!$D$2:$AD$2000,MATCH(1,(Working_Data!$A$2:$A$2000=$A26)*(Working_Data!$B$2:$B$2000=YEAR(R$5))*(Working_Data!$C$2:$C$2000=TEXT(R$5,"mmmm")),0),MATCH($B26,Working_Data!$D$1:$AD$1,0))</f>
        <v>171.4</v>
      </c>
      <c r="S26" s="185" cm="1">
        <f t="array" ref="S26">INDEX(Working_Data!$D$2:$AD$2000,MATCH(1,(Working_Data!$A$2:$A$2000=$A26)*(Working_Data!$B$2:$B$2000=YEAR(S$5))*(Working_Data!$C$2:$C$2000=TEXT(S$5,"mmmm")),0),MATCH($B26,Working_Data!$D$1:$AD$1,0))</f>
        <v>172.2</v>
      </c>
      <c r="T26" s="185" cm="1">
        <f t="array" ref="T26">INDEX(Working_Data!$D$2:$AD$2000,MATCH(1,(Working_Data!$A$2:$A$2000=$A26)*(Working_Data!$B$2:$B$2000=YEAR(T$5))*(Working_Data!$C$2:$C$2000=TEXT(T$5,"mmmm")),0),MATCH($B26,Working_Data!$D$1:$AD$1,0))</f>
        <v>173</v>
      </c>
      <c r="U26" s="185" cm="1">
        <f t="array" ref="U26">INDEX(Working_Data!$D$2:$AD$2000,MATCH(1,(Working_Data!$A$2:$A$2000=$A26)*(Working_Data!$B$2:$B$2000=YEAR(U$5))*(Working_Data!$C$2:$C$2000=TEXT(U$5,"mmmm")),0),MATCH($B26,Working_Data!$D$1:$AD$1,0))</f>
        <v>174</v>
      </c>
      <c r="V26" s="185" cm="1">
        <f t="array" ref="V26">INDEX(Working_Data!$D$2:$AD$2000,MATCH(1,(Working_Data!$A$2:$A$2000=$A26)*(Working_Data!$B$2:$B$2000=YEAR(V$5))*(Working_Data!$C$2:$C$2000=TEXT(V$5,"mmmm")),0),MATCH($B26,Working_Data!$D$1:$AD$1,0))</f>
        <v>174.8</v>
      </c>
      <c r="W26" s="185" cm="1">
        <f t="array" ref="W26">INDEX(Working_Data!$D$2:$AD$2000,MATCH(1,(Working_Data!$A$2:$A$2000=$A26)*(Working_Data!$B$2:$B$2000=YEAR(W$5))*(Working_Data!$C$2:$C$2000=TEXT(W$5,"mmmm")),0),MATCH($B26,Working_Data!$D$1:$AD$1,0))</f>
        <v>175.4</v>
      </c>
      <c r="X26" s="185" cm="1">
        <f t="array" ref="X26">INDEX(Working_Data!$D$2:$AD$2000,MATCH(1,(Working_Data!$A$2:$A$2000=$A26)*(Working_Data!$B$2:$B$2000=YEAR(X$5))*(Working_Data!$C$2:$C$2000=TEXT(X$5,"mmmm")),0),MATCH($B26,Working_Data!$D$1:$AD$1,0))</f>
        <v>176.1</v>
      </c>
      <c r="Y26" s="185" cm="1">
        <f t="array" ref="Y26">INDEX(Working_Data!$D$2:$AD$2000,MATCH(1,(Working_Data!$A$2:$A$2000=$A26)*(Working_Data!$B$2:$B$2000=YEAR(Y$5))*(Working_Data!$C$2:$C$2000=TEXT(Y$5,"mmmm")),0),MATCH($B26,Working_Data!$D$1:$AD$1,0))</f>
        <v>176.8</v>
      </c>
      <c r="Z26" s="185" cm="1">
        <f t="array" ref="Z26">INDEX(Working_Data!$D$2:$AD$2000,MATCH(1,(Working_Data!$A$2:$A$2000=$A26)*(Working_Data!$B$2:$B$2000=YEAR(Z$5))*(Working_Data!$C$2:$C$2000=TEXT(Z$5,"mmmm")),0),MATCH($B26,Working_Data!$D$1:$AD$1,0))</f>
        <v>177.8</v>
      </c>
      <c r="AA26" s="185" cm="1">
        <f t="array" ref="AA26">INDEX(Working_Data!$D$2:$AD$2000,MATCH(1,(Working_Data!$A$2:$A$2000=$A26)*(Working_Data!$B$2:$B$2000=YEAR(AA$5))*(Working_Data!$C$2:$C$2000=TEXT(AA$5,"mmmm")),0),MATCH($B26,Working_Data!$D$1:$AD$1,0))</f>
        <v>178.7</v>
      </c>
      <c r="AB26" s="185" cm="1">
        <f t="array" ref="AB26">INDEX(Working_Data!$D$2:$AD$2000,MATCH(1,(Working_Data!$A$2:$A$2000=$A26)*(Working_Data!$B$2:$B$2000=YEAR(AB$5))*(Working_Data!$C$2:$C$2000=TEXT(AB$5,"mmmm")),0),MATCH($B26,Working_Data!$D$1:$AD$1,0))</f>
        <v>179.8</v>
      </c>
      <c r="AC26" s="185" cm="1">
        <f t="array" ref="AC26">INDEX(Working_Data!$D$2:$AD$2000,MATCH(1,(Working_Data!$A$2:$A$2000=$A26)*(Working_Data!$B$2:$B$2000=YEAR(AC$5))*(Working_Data!$C$2:$C$2000=TEXT(AC$5,"mmmm")),0),MATCH($B26,Working_Data!$D$1:$AD$1,0))</f>
        <v>181.1</v>
      </c>
      <c r="AD26" s="185" cm="1">
        <f t="array" ref="AD26">INDEX(Working_Data!$D$2:$AD$2000,MATCH(1,(Working_Data!$A$2:$A$2000=$A26)*(Working_Data!$B$2:$B$2000=YEAR(AD$5))*(Working_Data!$C$2:$C$2000=TEXT(AD$5,"mmmm")),0),MATCH($B26,Working_Data!$D$1:$AD$1,0))</f>
        <v>182.3</v>
      </c>
      <c r="AE26" s="185" cm="1">
        <f t="array" ref="AE26">INDEX(Working_Data!$D$2:$AD$2000,MATCH(1,(Working_Data!$A$2:$A$2000=$A26)*(Working_Data!$B$2:$B$2000=YEAR(AE$5))*(Working_Data!$C$2:$C$2000=TEXT(AE$5,"mmmm")),0),MATCH($B26,Working_Data!$D$1:$AD$1,0))</f>
        <v>184.4</v>
      </c>
      <c r="AF26" s="185" cm="1">
        <f t="array" ref="AF26">INDEX(Working_Data!$D$2:$AD$2000,MATCH(1,(Working_Data!$A$2:$A$2000=$A26)*(Working_Data!$B$2:$B$2000=YEAR(AF$5))*(Working_Data!$C$2:$C$2000=TEXT(AF$5,"mmmm")),0),MATCH($B26,Working_Data!$D$1:$AD$1,0))</f>
        <v>184.4</v>
      </c>
      <c r="AG26" s="185" cm="1">
        <f t="array" ref="AG26">INDEX(Working_Data!$D$2:$AD$2000,MATCH(1,(Working_Data!$A$2:$A$2000=$A26)*(Working_Data!$B$2:$B$2000=YEAR(AG$5))*(Working_Data!$C$2:$C$2000=TEXT(AG$5,"mmmm")),0),MATCH($B26,Working_Data!$D$1:$AD$1,0))</f>
        <v>185</v>
      </c>
      <c r="AH26" s="185" cm="1">
        <f t="array" ref="AH26">INDEX(Working_Data!$D$2:$AD$2000,MATCH(1,(Working_Data!$A$2:$A$2000=$A26)*(Working_Data!$B$2:$B$2000=YEAR(AH$5))*(Working_Data!$C$2:$C$2000=TEXT(AH$5,"mmmm")),0),MATCH($B26,Working_Data!$D$1:$AD$1,0))</f>
        <v>185.7</v>
      </c>
      <c r="AI26" s="185" t="s">
        <v>47</v>
      </c>
      <c r="AJ26" s="185" t="s">
        <v>47</v>
      </c>
      <c r="AK26" s="185" t="s">
        <v>47</v>
      </c>
      <c r="AL26" s="185" t="s">
        <v>47</v>
      </c>
      <c r="AM26" s="185" t="s">
        <v>47</v>
      </c>
      <c r="AN26" s="185" t="s">
        <v>47</v>
      </c>
      <c r="AO26" s="186" t="s">
        <v>47</v>
      </c>
    </row>
    <row r="27" spans="1:41" s="181" customFormat="1" ht="28.8" x14ac:dyDescent="0.3">
      <c r="A27" s="182" t="s">
        <v>34</v>
      </c>
      <c r="B27" s="183" t="s">
        <v>24</v>
      </c>
      <c r="C27" s="183" t="str">
        <f>_xlfn.XLOOKUP(B27,CPI_Category_Mapping[Category],CPI_Category_Mapping[New Food Category])</f>
        <v>Transportation</v>
      </c>
      <c r="D27" s="184">
        <f>CORREL(F27:AH27,'Crude Oil Price'!$B$5:$B$33)</f>
        <v>0.66762747886441132</v>
      </c>
      <c r="E27" s="185" cm="1">
        <f t="array" ref="E27">INDEX(Working_Data!$D$2:$AD$2000,MATCH(1,(Working_Data!$A$2:$A$2000=$A27)*(Working_Data!$B$2:$B$2000=YEAR(E$5))*(Working_Data!$C$2:$C$2000=TEXT(E$5,"mmmm")),0),MATCH($B27,Working_Data!$D$1:$AD$1,0))</f>
        <v>140.69999999999999</v>
      </c>
      <c r="F27" s="185" cm="1">
        <f t="array" ref="F27">INDEX(Working_Data!$D$2:$AD$2000,MATCH(1,(Working_Data!$A$2:$A$2000=$A27)*(Working_Data!$B$2:$B$2000=YEAR(F$5))*(Working_Data!$C$2:$C$2000=TEXT(F$5,"mmmm")),0),MATCH($B27,Working_Data!$D$1:$AD$1,0))</f>
        <v>141.9</v>
      </c>
      <c r="G27" s="185" cm="1">
        <f t="array" ref="G27">INDEX(Working_Data!$D$2:$AD$2000,MATCH(1,(Working_Data!$A$2:$A$2000=$A27)*(Working_Data!$B$2:$B$2000=YEAR(G$5))*(Working_Data!$C$2:$C$2000=TEXT(G$5,"mmmm")),0),MATCH($B27,Working_Data!$D$1:$AD$1,0))</f>
        <v>145.1</v>
      </c>
      <c r="H27" s="185" cm="1">
        <f t="array" ref="H27">INDEX(Working_Data!$D$2:$AD$2000,MATCH(1,(Working_Data!$A$2:$A$2000=$A27)*(Working_Data!$B$2:$B$2000=YEAR(H$5))*(Working_Data!$C$2:$C$2000=TEXT(H$5,"mmmm")),0),MATCH($B27,Working_Data!$D$1:$AD$1,0))</f>
        <v>146.19999999999999</v>
      </c>
      <c r="I27" s="185" cm="1">
        <f t="array" ref="I27">INDEX(Working_Data!$D$2:$AD$2000,MATCH(1,(Working_Data!$A$2:$A$2000=$A27)*(Working_Data!$B$2:$B$2000=YEAR(I$5))*(Working_Data!$C$2:$C$2000=TEXT(I$5,"mmmm")),0),MATCH($B27,Working_Data!$D$1:$AD$1,0))</f>
        <v>146.6</v>
      </c>
      <c r="J27" s="185" cm="1">
        <f t="array" ref="J27">INDEX(Working_Data!$D$2:$AD$2000,MATCH(1,(Working_Data!$A$2:$A$2000=$A27)*(Working_Data!$B$2:$B$2000=YEAR(J$5))*(Working_Data!$C$2:$C$2000=TEXT(J$5,"mmmm")),0),MATCH($B27,Working_Data!$D$1:$AD$1,0))</f>
        <v>148.9</v>
      </c>
      <c r="K27" s="185" cm="1">
        <f t="array" ref="K27">INDEX(Working_Data!$D$2:$AD$2000,MATCH(1,(Working_Data!$A$2:$A$2000=$A27)*(Working_Data!$B$2:$B$2000=YEAR(K$5))*(Working_Data!$C$2:$C$2000=TEXT(K$5,"mmmm")),0),MATCH($B27,Working_Data!$D$1:$AD$1,0))</f>
        <v>150.69999999999999</v>
      </c>
      <c r="L27" s="185" cm="1">
        <f t="array" ref="L27">INDEX(Working_Data!$D$2:$AD$2000,MATCH(1,(Working_Data!$A$2:$A$2000=$A27)*(Working_Data!$B$2:$B$2000=YEAR(L$5))*(Working_Data!$C$2:$C$2000=TEXT(L$5,"mmmm")),0),MATCH($B27,Working_Data!$D$1:$AD$1,0))</f>
        <v>153.1</v>
      </c>
      <c r="M27" s="185" cm="1">
        <f t="array" ref="M27">INDEX(Working_Data!$D$2:$AD$2000,MATCH(1,(Working_Data!$A$2:$A$2000=$A27)*(Working_Data!$B$2:$B$2000=YEAR(M$5))*(Working_Data!$C$2:$C$2000=TEXT(M$5,"mmmm")),0),MATCH($B27,Working_Data!$D$1:$AD$1,0))</f>
        <v>154</v>
      </c>
      <c r="N27" s="185" cm="1">
        <f t="array" ref="N27">INDEX(Working_Data!$D$2:$AD$2000,MATCH(1,(Working_Data!$A$2:$A$2000=$A27)*(Working_Data!$B$2:$B$2000=YEAR(N$5))*(Working_Data!$C$2:$C$2000=TEXT(N$5,"mmmm")),0),MATCH($B27,Working_Data!$D$1:$AD$1,0))</f>
        <v>154</v>
      </c>
      <c r="O27" s="185" cm="1">
        <f t="array" ref="O27">INDEX(Working_Data!$D$2:$AD$2000,MATCH(1,(Working_Data!$A$2:$A$2000=$A27)*(Working_Data!$B$2:$B$2000=YEAR(O$5))*(Working_Data!$C$2:$C$2000=TEXT(O$5,"mmmm")),0),MATCH($B27,Working_Data!$D$1:$AD$1,0))</f>
        <v>155.69999999999999</v>
      </c>
      <c r="P27" s="185" cm="1">
        <f t="array" ref="P27">INDEX(Working_Data!$D$2:$AD$2000,MATCH(1,(Working_Data!$A$2:$A$2000=$A27)*(Working_Data!$B$2:$B$2000=YEAR(P$5))*(Working_Data!$C$2:$C$2000=TEXT(P$5,"mmmm")),0),MATCH($B27,Working_Data!$D$1:$AD$1,0))</f>
        <v>154.80000000000001</v>
      </c>
      <c r="Q27" s="185" cm="1">
        <f t="array" ref="Q27">INDEX(Working_Data!$D$2:$AD$2000,MATCH(1,(Working_Data!$A$2:$A$2000=$A27)*(Working_Data!$B$2:$B$2000=YEAR(Q$5))*(Working_Data!$C$2:$C$2000=TEXT(Q$5,"mmmm")),0),MATCH($B27,Working_Data!$D$1:$AD$1,0))</f>
        <v>155.69999999999999</v>
      </c>
      <c r="R27" s="185" cm="1">
        <f t="array" ref="R27">INDEX(Working_Data!$D$2:$AD$2000,MATCH(1,(Working_Data!$A$2:$A$2000=$A27)*(Working_Data!$B$2:$B$2000=YEAR(R$5))*(Working_Data!$C$2:$C$2000=TEXT(R$5,"mmmm")),0),MATCH($B27,Working_Data!$D$1:$AD$1,0))</f>
        <v>156.5</v>
      </c>
      <c r="S27" s="185" cm="1">
        <f t="array" ref="S27">INDEX(Working_Data!$D$2:$AD$2000,MATCH(1,(Working_Data!$A$2:$A$2000=$A27)*(Working_Data!$B$2:$B$2000=YEAR(S$5))*(Working_Data!$C$2:$C$2000=TEXT(S$5,"mmmm")),0),MATCH($B27,Working_Data!$D$1:$AD$1,0))</f>
        <v>156.9</v>
      </c>
      <c r="T27" s="185" cm="1">
        <f t="array" ref="T27">INDEX(Working_Data!$D$2:$AD$2000,MATCH(1,(Working_Data!$A$2:$A$2000=$A27)*(Working_Data!$B$2:$B$2000=YEAR(T$5))*(Working_Data!$C$2:$C$2000=TEXT(T$5,"mmmm")),0),MATCH($B27,Working_Data!$D$1:$AD$1,0))</f>
        <v>157.9</v>
      </c>
      <c r="U27" s="185" cm="1">
        <f t="array" ref="U27">INDEX(Working_Data!$D$2:$AD$2000,MATCH(1,(Working_Data!$A$2:$A$2000=$A27)*(Working_Data!$B$2:$B$2000=YEAR(U$5))*(Working_Data!$C$2:$C$2000=TEXT(U$5,"mmmm")),0),MATCH($B27,Working_Data!$D$1:$AD$1,0))</f>
        <v>162.6</v>
      </c>
      <c r="V27" s="185" cm="1">
        <f t="array" ref="V27">INDEX(Working_Data!$D$2:$AD$2000,MATCH(1,(Working_Data!$A$2:$A$2000=$A27)*(Working_Data!$B$2:$B$2000=YEAR(V$5))*(Working_Data!$C$2:$C$2000=TEXT(V$5,"mmmm")),0),MATCH($B27,Working_Data!$D$1:$AD$1,0))</f>
        <v>163</v>
      </c>
      <c r="W27" s="185" cm="1">
        <f t="array" ref="W27">INDEX(Working_Data!$D$2:$AD$2000,MATCH(1,(Working_Data!$A$2:$A$2000=$A27)*(Working_Data!$B$2:$B$2000=YEAR(W$5))*(Working_Data!$C$2:$C$2000=TEXT(W$5,"mmmm")),0),MATCH($B27,Working_Data!$D$1:$AD$1,0))</f>
        <v>161.1</v>
      </c>
      <c r="X27" s="185" cm="1">
        <f t="array" ref="X27">INDEX(Working_Data!$D$2:$AD$2000,MATCH(1,(Working_Data!$A$2:$A$2000=$A27)*(Working_Data!$B$2:$B$2000=YEAR(X$5))*(Working_Data!$C$2:$C$2000=TEXT(X$5,"mmmm")),0),MATCH($B27,Working_Data!$D$1:$AD$1,0))</f>
        <v>161.6</v>
      </c>
      <c r="Y27" s="185" cm="1">
        <f t="array" ref="Y27">INDEX(Working_Data!$D$2:$AD$2000,MATCH(1,(Working_Data!$A$2:$A$2000=$A27)*(Working_Data!$B$2:$B$2000=YEAR(Y$5))*(Working_Data!$C$2:$C$2000=TEXT(Y$5,"mmmm")),0),MATCH($B27,Working_Data!$D$1:$AD$1,0))</f>
        <v>161.9</v>
      </c>
      <c r="Z27" s="185" cm="1">
        <f t="array" ref="Z27">INDEX(Working_Data!$D$2:$AD$2000,MATCH(1,(Working_Data!$A$2:$A$2000=$A27)*(Working_Data!$B$2:$B$2000=YEAR(Z$5))*(Working_Data!$C$2:$C$2000=TEXT(Z$5,"mmmm")),0),MATCH($B27,Working_Data!$D$1:$AD$1,0))</f>
        <v>162.30000000000001</v>
      </c>
      <c r="AA27" s="185" cm="1">
        <f t="array" ref="AA27">INDEX(Working_Data!$D$2:$AD$2000,MATCH(1,(Working_Data!$A$2:$A$2000=$A27)*(Working_Data!$B$2:$B$2000=YEAR(AA$5))*(Working_Data!$C$2:$C$2000=TEXT(AA$5,"mmmm")),0),MATCH($B27,Working_Data!$D$1:$AD$1,0))</f>
        <v>162.9</v>
      </c>
      <c r="AB27" s="185" cm="1">
        <f t="array" ref="AB27">INDEX(Working_Data!$D$2:$AD$2000,MATCH(1,(Working_Data!$A$2:$A$2000=$A27)*(Working_Data!$B$2:$B$2000=YEAR(AB$5))*(Working_Data!$C$2:$C$2000=TEXT(AB$5,"mmmm")),0),MATCH($B27,Working_Data!$D$1:$AD$1,0))</f>
        <v>163</v>
      </c>
      <c r="AC27" s="185" cm="1">
        <f t="array" ref="AC27">INDEX(Working_Data!$D$2:$AD$2000,MATCH(1,(Working_Data!$A$2:$A$2000=$A27)*(Working_Data!$B$2:$B$2000=YEAR(AC$5))*(Working_Data!$C$2:$C$2000=TEXT(AC$5,"mmmm")),0),MATCH($B27,Working_Data!$D$1:$AD$1,0))</f>
        <v>163.4</v>
      </c>
      <c r="AD27" s="185" cm="1">
        <f t="array" ref="AD27">INDEX(Working_Data!$D$2:$AD$2000,MATCH(1,(Working_Data!$A$2:$A$2000=$A27)*(Working_Data!$B$2:$B$2000=YEAR(AD$5))*(Working_Data!$C$2:$C$2000=TEXT(AD$5,"mmmm")),0),MATCH($B27,Working_Data!$D$1:$AD$1,0))</f>
        <v>163.6</v>
      </c>
      <c r="AE27" s="185" cm="1">
        <f t="array" ref="AE27">INDEX(Working_Data!$D$2:$AD$2000,MATCH(1,(Working_Data!$A$2:$A$2000=$A27)*(Working_Data!$B$2:$B$2000=YEAR(AE$5))*(Working_Data!$C$2:$C$2000=TEXT(AE$5,"mmmm")),0),MATCH($B27,Working_Data!$D$1:$AD$1,0))</f>
        <v>164.2</v>
      </c>
      <c r="AF27" s="185" cm="1">
        <f t="array" ref="AF27">INDEX(Working_Data!$D$2:$AD$2000,MATCH(1,(Working_Data!$A$2:$A$2000=$A27)*(Working_Data!$B$2:$B$2000=YEAR(AF$5))*(Working_Data!$C$2:$C$2000=TEXT(AF$5,"mmmm")),0),MATCH($B27,Working_Data!$D$1:$AD$1,0))</f>
        <v>164.2</v>
      </c>
      <c r="AG27" s="185" cm="1">
        <f t="array" ref="AG27">INDEX(Working_Data!$D$2:$AD$2000,MATCH(1,(Working_Data!$A$2:$A$2000=$A27)*(Working_Data!$B$2:$B$2000=YEAR(AG$5))*(Working_Data!$C$2:$C$2000=TEXT(AG$5,"mmmm")),0),MATCH($B27,Working_Data!$D$1:$AD$1,0))</f>
        <v>164.5</v>
      </c>
      <c r="AH27" s="185" cm="1">
        <f t="array" ref="AH27">INDEX(Working_Data!$D$2:$AD$2000,MATCH(1,(Working_Data!$A$2:$A$2000=$A27)*(Working_Data!$B$2:$B$2000=YEAR(AH$5))*(Working_Data!$C$2:$C$2000=TEXT(AH$5,"mmmm")),0),MATCH($B27,Working_Data!$D$1:$AD$1,0))</f>
        <v>164.8</v>
      </c>
      <c r="AI27" s="185" t="s">
        <v>47</v>
      </c>
      <c r="AJ27" s="185" t="s">
        <v>47</v>
      </c>
      <c r="AK27" s="185" t="s">
        <v>47</v>
      </c>
      <c r="AL27" s="185" t="s">
        <v>47</v>
      </c>
      <c r="AM27" s="185" t="s">
        <v>47</v>
      </c>
      <c r="AN27" s="185" t="s">
        <v>47</v>
      </c>
      <c r="AO27" s="186" t="s">
        <v>47</v>
      </c>
    </row>
    <row r="28" spans="1:41" s="181" customFormat="1" ht="28.8" x14ac:dyDescent="0.3">
      <c r="A28" s="182" t="s">
        <v>34</v>
      </c>
      <c r="B28" s="183" t="s">
        <v>25</v>
      </c>
      <c r="C28" s="183" t="str">
        <f>_xlfn.XLOOKUP(B28,CPI_Category_Mapping[Category],CPI_Category_Mapping[New Food Category])</f>
        <v>Luxury</v>
      </c>
      <c r="D28" s="184">
        <f>CORREL(F28:AH28,'Crude Oil Price'!$B$5:$B$33)</f>
        <v>0.58945628004865802</v>
      </c>
      <c r="E28" s="185" cm="1">
        <f t="array" ref="E28">INDEX(Working_Data!$D$2:$AD$2000,MATCH(1,(Working_Data!$A$2:$A$2000=$A28)*(Working_Data!$B$2:$B$2000=YEAR(E$5))*(Working_Data!$C$2:$C$2000=TEXT(E$5,"mmmm")),0),MATCH($B28,Working_Data!$D$1:$AD$1,0))</f>
        <v>148.5</v>
      </c>
      <c r="F28" s="185" cm="1">
        <f t="array" ref="F28">INDEX(Working_Data!$D$2:$AD$2000,MATCH(1,(Working_Data!$A$2:$A$2000=$A28)*(Working_Data!$B$2:$B$2000=YEAR(F$5))*(Working_Data!$C$2:$C$2000=TEXT(F$5,"mmmm")),0),MATCH($B28,Working_Data!$D$1:$AD$1,0))</f>
        <v>149.6</v>
      </c>
      <c r="G28" s="185" cm="1">
        <f t="array" ref="G28">INDEX(Working_Data!$D$2:$AD$2000,MATCH(1,(Working_Data!$A$2:$A$2000=$A28)*(Working_Data!$B$2:$B$2000=YEAR(G$5))*(Working_Data!$C$2:$C$2000=TEXT(G$5,"mmmm")),0),MATCH($B28,Working_Data!$D$1:$AD$1,0))</f>
        <v>151.5</v>
      </c>
      <c r="H28" s="185" cm="1">
        <f t="array" ref="H28">INDEX(Working_Data!$D$2:$AD$2000,MATCH(1,(Working_Data!$A$2:$A$2000=$A28)*(Working_Data!$B$2:$B$2000=YEAR(H$5))*(Working_Data!$C$2:$C$2000=TEXT(H$5,"mmmm")),0),MATCH($B28,Working_Data!$D$1:$AD$1,0))</f>
        <v>152.6</v>
      </c>
      <c r="I28" s="185" cm="1">
        <f t="array" ref="I28">INDEX(Working_Data!$D$2:$AD$2000,MATCH(1,(Working_Data!$A$2:$A$2000=$A28)*(Working_Data!$B$2:$B$2000=YEAR(I$5))*(Working_Data!$C$2:$C$2000=TEXT(I$5,"mmmm")),0),MATCH($B28,Working_Data!$D$1:$AD$1,0))</f>
        <v>153.19999999999999</v>
      </c>
      <c r="J28" s="185" cm="1">
        <f t="array" ref="J28">INDEX(Working_Data!$D$2:$AD$2000,MATCH(1,(Working_Data!$A$2:$A$2000=$A28)*(Working_Data!$B$2:$B$2000=YEAR(J$5))*(Working_Data!$C$2:$C$2000=TEXT(J$5,"mmmm")),0),MATCH($B28,Working_Data!$D$1:$AD$1,0))</f>
        <v>155.80000000000001</v>
      </c>
      <c r="K28" s="185" cm="1">
        <f t="array" ref="K28">INDEX(Working_Data!$D$2:$AD$2000,MATCH(1,(Working_Data!$A$2:$A$2000=$A28)*(Working_Data!$B$2:$B$2000=YEAR(K$5))*(Working_Data!$C$2:$C$2000=TEXT(K$5,"mmmm")),0),MATCH($B28,Working_Data!$D$1:$AD$1,0))</f>
        <v>154.9</v>
      </c>
      <c r="L28" s="185" cm="1">
        <f t="array" ref="L28">INDEX(Working_Data!$D$2:$AD$2000,MATCH(1,(Working_Data!$A$2:$A$2000=$A28)*(Working_Data!$B$2:$B$2000=YEAR(L$5))*(Working_Data!$C$2:$C$2000=TEXT(L$5,"mmmm")),0),MATCH($B28,Working_Data!$D$1:$AD$1,0))</f>
        <v>155.30000000000001</v>
      </c>
      <c r="M28" s="185" cm="1">
        <f t="array" ref="M28">INDEX(Working_Data!$D$2:$AD$2000,MATCH(1,(Working_Data!$A$2:$A$2000=$A28)*(Working_Data!$B$2:$B$2000=YEAR(M$5))*(Working_Data!$C$2:$C$2000=TEXT(M$5,"mmmm")),0),MATCH($B28,Working_Data!$D$1:$AD$1,0))</f>
        <v>157.6</v>
      </c>
      <c r="N28" s="185" cm="1">
        <f t="array" ref="N28">INDEX(Working_Data!$D$2:$AD$2000,MATCH(1,(Working_Data!$A$2:$A$2000=$A28)*(Working_Data!$B$2:$B$2000=YEAR(N$5))*(Working_Data!$C$2:$C$2000=TEXT(N$5,"mmmm")),0),MATCH($B28,Working_Data!$D$1:$AD$1,0))</f>
        <v>157.69999999999999</v>
      </c>
      <c r="O28" s="185" cm="1">
        <f t="array" ref="O28">INDEX(Working_Data!$D$2:$AD$2000,MATCH(1,(Working_Data!$A$2:$A$2000=$A28)*(Working_Data!$B$2:$B$2000=YEAR(O$5))*(Working_Data!$C$2:$C$2000=TEXT(O$5,"mmmm")),0),MATCH($B28,Working_Data!$D$1:$AD$1,0))</f>
        <v>158.6</v>
      </c>
      <c r="P28" s="185" cm="1">
        <f t="array" ref="P28">INDEX(Working_Data!$D$2:$AD$2000,MATCH(1,(Working_Data!$A$2:$A$2000=$A28)*(Working_Data!$B$2:$B$2000=YEAR(P$5))*(Working_Data!$C$2:$C$2000=TEXT(P$5,"mmmm")),0),MATCH($B28,Working_Data!$D$1:$AD$1,0))</f>
        <v>159.80000000000001</v>
      </c>
      <c r="Q28" s="185" cm="1">
        <f t="array" ref="Q28">INDEX(Working_Data!$D$2:$AD$2000,MATCH(1,(Working_Data!$A$2:$A$2000=$A28)*(Working_Data!$B$2:$B$2000=YEAR(Q$5))*(Working_Data!$C$2:$C$2000=TEXT(Q$5,"mmmm")),0),MATCH($B28,Working_Data!$D$1:$AD$1,0))</f>
        <v>160.6</v>
      </c>
      <c r="R28" s="185" cm="1">
        <f t="array" ref="R28">INDEX(Working_Data!$D$2:$AD$2000,MATCH(1,(Working_Data!$A$2:$A$2000=$A28)*(Working_Data!$B$2:$B$2000=YEAR(R$5))*(Working_Data!$C$2:$C$2000=TEXT(R$5,"mmmm")),0),MATCH($B28,Working_Data!$D$1:$AD$1,0))</f>
        <v>161.19999999999999</v>
      </c>
      <c r="S28" s="185" cm="1">
        <f t="array" ref="S28">INDEX(Working_Data!$D$2:$AD$2000,MATCH(1,(Working_Data!$A$2:$A$2000=$A28)*(Working_Data!$B$2:$B$2000=YEAR(S$5))*(Working_Data!$C$2:$C$2000=TEXT(S$5,"mmmm")),0),MATCH($B28,Working_Data!$D$1:$AD$1,0))</f>
        <v>162.1</v>
      </c>
      <c r="T28" s="185" cm="1">
        <f t="array" ref="T28">INDEX(Working_Data!$D$2:$AD$2000,MATCH(1,(Working_Data!$A$2:$A$2000=$A28)*(Working_Data!$B$2:$B$2000=YEAR(T$5))*(Working_Data!$C$2:$C$2000=TEXT(T$5,"mmmm")),0),MATCH($B28,Working_Data!$D$1:$AD$1,0))</f>
        <v>163.30000000000001</v>
      </c>
      <c r="U28" s="185" cm="1">
        <f t="array" ref="U28">INDEX(Working_Data!$D$2:$AD$2000,MATCH(1,(Working_Data!$A$2:$A$2000=$A28)*(Working_Data!$B$2:$B$2000=YEAR(U$5))*(Working_Data!$C$2:$C$2000=TEXT(U$5,"mmmm")),0),MATCH($B28,Working_Data!$D$1:$AD$1,0))</f>
        <v>164.4</v>
      </c>
      <c r="V28" s="185" cm="1">
        <f t="array" ref="V28">INDEX(Working_Data!$D$2:$AD$2000,MATCH(1,(Working_Data!$A$2:$A$2000=$A28)*(Working_Data!$B$2:$B$2000=YEAR(V$5))*(Working_Data!$C$2:$C$2000=TEXT(V$5,"mmmm")),0),MATCH($B28,Working_Data!$D$1:$AD$1,0))</f>
        <v>165.1</v>
      </c>
      <c r="W28" s="185" cm="1">
        <f t="array" ref="W28">INDEX(Working_Data!$D$2:$AD$2000,MATCH(1,(Working_Data!$A$2:$A$2000=$A28)*(Working_Data!$B$2:$B$2000=YEAR(W$5))*(Working_Data!$C$2:$C$2000=TEXT(W$5,"mmmm")),0),MATCH($B28,Working_Data!$D$1:$AD$1,0))</f>
        <v>165.8</v>
      </c>
      <c r="X28" s="185" cm="1">
        <f t="array" ref="X28">INDEX(Working_Data!$D$2:$AD$2000,MATCH(1,(Working_Data!$A$2:$A$2000=$A28)*(Working_Data!$B$2:$B$2000=YEAR(X$5))*(Working_Data!$C$2:$C$2000=TEXT(X$5,"mmmm")),0),MATCH($B28,Working_Data!$D$1:$AD$1,0))</f>
        <v>166.3</v>
      </c>
      <c r="Y28" s="185" cm="1">
        <f t="array" ref="Y28">INDEX(Working_Data!$D$2:$AD$2000,MATCH(1,(Working_Data!$A$2:$A$2000=$A28)*(Working_Data!$B$2:$B$2000=YEAR(Y$5))*(Working_Data!$C$2:$C$2000=TEXT(Y$5,"mmmm")),0),MATCH($B28,Working_Data!$D$1:$AD$1,0))</f>
        <v>166.9</v>
      </c>
      <c r="Z28" s="185" cm="1">
        <f t="array" ref="Z28">INDEX(Working_Data!$D$2:$AD$2000,MATCH(1,(Working_Data!$A$2:$A$2000=$A28)*(Working_Data!$B$2:$B$2000=YEAR(Z$5))*(Working_Data!$C$2:$C$2000=TEXT(Z$5,"mmmm")),0),MATCH($B28,Working_Data!$D$1:$AD$1,0))</f>
        <v>167.6</v>
      </c>
      <c r="AA28" s="185" cm="1">
        <f t="array" ref="AA28">INDEX(Working_Data!$D$2:$AD$2000,MATCH(1,(Working_Data!$A$2:$A$2000=$A28)*(Working_Data!$B$2:$B$2000=YEAR(AA$5))*(Working_Data!$C$2:$C$2000=TEXT(AA$5,"mmmm")),0),MATCH($B28,Working_Data!$D$1:$AD$1,0))</f>
        <v>168.2</v>
      </c>
      <c r="AB28" s="185" cm="1">
        <f t="array" ref="AB28">INDEX(Working_Data!$D$2:$AD$2000,MATCH(1,(Working_Data!$A$2:$A$2000=$A28)*(Working_Data!$B$2:$B$2000=YEAR(AB$5))*(Working_Data!$C$2:$C$2000=TEXT(AB$5,"mmmm")),0),MATCH($B28,Working_Data!$D$1:$AD$1,0))</f>
        <v>168.5</v>
      </c>
      <c r="AC28" s="185" cm="1">
        <f t="array" ref="AC28">INDEX(Working_Data!$D$2:$AD$2000,MATCH(1,(Working_Data!$A$2:$A$2000=$A28)*(Working_Data!$B$2:$B$2000=YEAR(AC$5))*(Working_Data!$C$2:$C$2000=TEXT(AC$5,"mmmm")),0),MATCH($B28,Working_Data!$D$1:$AD$1,0))</f>
        <v>168.9</v>
      </c>
      <c r="AD28" s="185" cm="1">
        <f t="array" ref="AD28">INDEX(Working_Data!$D$2:$AD$2000,MATCH(1,(Working_Data!$A$2:$A$2000=$A28)*(Working_Data!$B$2:$B$2000=YEAR(AD$5))*(Working_Data!$C$2:$C$2000=TEXT(AD$5,"mmmm")),0),MATCH($B28,Working_Data!$D$1:$AD$1,0))</f>
        <v>169.5</v>
      </c>
      <c r="AE28" s="185" cm="1">
        <f t="array" ref="AE28">INDEX(Working_Data!$D$2:$AD$2000,MATCH(1,(Working_Data!$A$2:$A$2000=$A28)*(Working_Data!$B$2:$B$2000=YEAR(AE$5))*(Working_Data!$C$2:$C$2000=TEXT(AE$5,"mmmm")),0),MATCH($B28,Working_Data!$D$1:$AD$1,0))</f>
        <v>170.3</v>
      </c>
      <c r="AF28" s="185" cm="1">
        <f t="array" ref="AF28">INDEX(Working_Data!$D$2:$AD$2000,MATCH(1,(Working_Data!$A$2:$A$2000=$A28)*(Working_Data!$B$2:$B$2000=YEAR(AF$5))*(Working_Data!$C$2:$C$2000=TEXT(AF$5,"mmmm")),0),MATCH($B28,Working_Data!$D$1:$AD$1,0))</f>
        <v>170.3</v>
      </c>
      <c r="AG28" s="185" cm="1">
        <f t="array" ref="AG28">INDEX(Working_Data!$D$2:$AD$2000,MATCH(1,(Working_Data!$A$2:$A$2000=$A28)*(Working_Data!$B$2:$B$2000=YEAR(AG$5))*(Working_Data!$C$2:$C$2000=TEXT(AG$5,"mmmm")),0),MATCH($B28,Working_Data!$D$1:$AD$1,0))</f>
        <v>170.7</v>
      </c>
      <c r="AH28" s="185" cm="1">
        <f t="array" ref="AH28">INDEX(Working_Data!$D$2:$AD$2000,MATCH(1,(Working_Data!$A$2:$A$2000=$A28)*(Working_Data!$B$2:$B$2000=YEAR(AH$5))*(Working_Data!$C$2:$C$2000=TEXT(AH$5,"mmmm")),0),MATCH($B28,Working_Data!$D$1:$AD$1,0))</f>
        <v>171.2</v>
      </c>
      <c r="AI28" s="185" t="s">
        <v>47</v>
      </c>
      <c r="AJ28" s="185" t="s">
        <v>47</v>
      </c>
      <c r="AK28" s="185" t="s">
        <v>47</v>
      </c>
      <c r="AL28" s="185" t="s">
        <v>47</v>
      </c>
      <c r="AM28" s="185" t="s">
        <v>47</v>
      </c>
      <c r="AN28" s="185" t="s">
        <v>47</v>
      </c>
      <c r="AO28" s="186" t="s">
        <v>47</v>
      </c>
    </row>
    <row r="29" spans="1:41" s="181" customFormat="1" x14ac:dyDescent="0.3">
      <c r="A29" s="182" t="s">
        <v>34</v>
      </c>
      <c r="B29" s="183" t="s">
        <v>26</v>
      </c>
      <c r="C29" s="183" t="str">
        <f>_xlfn.XLOOKUP(B29,CPI_Category_Mapping[Category],CPI_Category_Mapping[New Food Category])</f>
        <v>Education</v>
      </c>
      <c r="D29" s="184">
        <f>CORREL(F29:AH29,'Crude Oil Price'!$B$5:$B$33)</f>
        <v>0.43780938159837823</v>
      </c>
      <c r="E29" s="185" cm="1">
        <f t="array" ref="E29">INDEX(Working_Data!$D$2:$AD$2000,MATCH(1,(Working_Data!$A$2:$A$2000=$A29)*(Working_Data!$B$2:$B$2000=YEAR(E$5))*(Working_Data!$C$2:$C$2000=TEXT(E$5,"mmmm")),0),MATCH($B29,Working_Data!$D$1:$AD$1,0))</f>
        <v>159.4</v>
      </c>
      <c r="F29" s="185" cm="1">
        <f t="array" ref="F29">INDEX(Working_Data!$D$2:$AD$2000,MATCH(1,(Working_Data!$A$2:$A$2000=$A29)*(Working_Data!$B$2:$B$2000=YEAR(F$5))*(Working_Data!$C$2:$C$2000=TEXT(F$5,"mmmm")),0),MATCH($B29,Working_Data!$D$1:$AD$1,0))</f>
        <v>159.19999999999999</v>
      </c>
      <c r="G29" s="185" cm="1">
        <f t="array" ref="G29">INDEX(Working_Data!$D$2:$AD$2000,MATCH(1,(Working_Data!$A$2:$A$2000=$A29)*(Working_Data!$B$2:$B$2000=YEAR(G$5))*(Working_Data!$C$2:$C$2000=TEXT(G$5,"mmmm")),0),MATCH($B29,Working_Data!$D$1:$AD$1,0))</f>
        <v>159.5</v>
      </c>
      <c r="H29" s="185" cm="1">
        <f t="array" ref="H29">INDEX(Working_Data!$D$2:$AD$2000,MATCH(1,(Working_Data!$A$2:$A$2000=$A29)*(Working_Data!$B$2:$B$2000=YEAR(H$5))*(Working_Data!$C$2:$C$2000=TEXT(H$5,"mmmm")),0),MATCH($B29,Working_Data!$D$1:$AD$1,0))</f>
        <v>160.19999999999999</v>
      </c>
      <c r="I29" s="185" cm="1">
        <f t="array" ref="I29">INDEX(Working_Data!$D$2:$AD$2000,MATCH(1,(Working_Data!$A$2:$A$2000=$A29)*(Working_Data!$B$2:$B$2000=YEAR(I$5))*(Working_Data!$C$2:$C$2000=TEXT(I$5,"mmmm")),0),MATCH($B29,Working_Data!$D$1:$AD$1,0))</f>
        <v>160.30000000000001</v>
      </c>
      <c r="J29" s="185" cm="1">
        <f t="array" ref="J29">INDEX(Working_Data!$D$2:$AD$2000,MATCH(1,(Working_Data!$A$2:$A$2000=$A29)*(Working_Data!$B$2:$B$2000=YEAR(J$5))*(Working_Data!$C$2:$C$2000=TEXT(J$5,"mmmm")),0),MATCH($B29,Working_Data!$D$1:$AD$1,0))</f>
        <v>161.19999999999999</v>
      </c>
      <c r="K29" s="185" cm="1">
        <f t="array" ref="K29">INDEX(Working_Data!$D$2:$AD$2000,MATCH(1,(Working_Data!$A$2:$A$2000=$A29)*(Working_Data!$B$2:$B$2000=YEAR(K$5))*(Working_Data!$C$2:$C$2000=TEXT(K$5,"mmmm")),0),MATCH($B29,Working_Data!$D$1:$AD$1,0))</f>
        <v>161.69999999999999</v>
      </c>
      <c r="L29" s="185" cm="1">
        <f t="array" ref="L29">INDEX(Working_Data!$D$2:$AD$2000,MATCH(1,(Working_Data!$A$2:$A$2000=$A29)*(Working_Data!$B$2:$B$2000=YEAR(L$5))*(Working_Data!$C$2:$C$2000=TEXT(L$5,"mmmm")),0),MATCH($B29,Working_Data!$D$1:$AD$1,0))</f>
        <v>163.19999999999999</v>
      </c>
      <c r="M29" s="185" cm="1">
        <f t="array" ref="M29">INDEX(Working_Data!$D$2:$AD$2000,MATCH(1,(Working_Data!$A$2:$A$2000=$A29)*(Working_Data!$B$2:$B$2000=YEAR(M$5))*(Working_Data!$C$2:$C$2000=TEXT(M$5,"mmmm")),0),MATCH($B29,Working_Data!$D$1:$AD$1,0))</f>
        <v>163.80000000000001</v>
      </c>
      <c r="N29" s="185" cm="1">
        <f t="array" ref="N29">INDEX(Working_Data!$D$2:$AD$2000,MATCH(1,(Working_Data!$A$2:$A$2000=$A29)*(Working_Data!$B$2:$B$2000=YEAR(N$5))*(Working_Data!$C$2:$C$2000=TEXT(N$5,"mmmm")),0),MATCH($B29,Working_Data!$D$1:$AD$1,0))</f>
        <v>163.69999999999999</v>
      </c>
      <c r="O29" s="185" cm="1">
        <f t="array" ref="O29">INDEX(Working_Data!$D$2:$AD$2000,MATCH(1,(Working_Data!$A$2:$A$2000=$A29)*(Working_Data!$B$2:$B$2000=YEAR(O$5))*(Working_Data!$C$2:$C$2000=TEXT(O$5,"mmmm")),0),MATCH($B29,Working_Data!$D$1:$AD$1,0))</f>
        <v>163.9</v>
      </c>
      <c r="P29" s="185" cm="1">
        <f t="array" ref="P29">INDEX(Working_Data!$D$2:$AD$2000,MATCH(1,(Working_Data!$A$2:$A$2000=$A29)*(Working_Data!$B$2:$B$2000=YEAR(P$5))*(Working_Data!$C$2:$C$2000=TEXT(P$5,"mmmm")),0),MATCH($B29,Working_Data!$D$1:$AD$1,0))</f>
        <v>164.3</v>
      </c>
      <c r="Q29" s="185" cm="1">
        <f t="array" ref="Q29">INDEX(Working_Data!$D$2:$AD$2000,MATCH(1,(Working_Data!$A$2:$A$2000=$A29)*(Working_Data!$B$2:$B$2000=YEAR(Q$5))*(Working_Data!$C$2:$C$2000=TEXT(Q$5,"mmmm")),0),MATCH($B29,Working_Data!$D$1:$AD$1,0))</f>
        <v>164.4</v>
      </c>
      <c r="R29" s="185" cm="1">
        <f t="array" ref="R29">INDEX(Working_Data!$D$2:$AD$2000,MATCH(1,(Working_Data!$A$2:$A$2000=$A29)*(Working_Data!$B$2:$B$2000=YEAR(R$5))*(Working_Data!$C$2:$C$2000=TEXT(R$5,"mmmm")),0),MATCH($B29,Working_Data!$D$1:$AD$1,0))</f>
        <v>164.7</v>
      </c>
      <c r="S29" s="185" cm="1">
        <f t="array" ref="S29">INDEX(Working_Data!$D$2:$AD$2000,MATCH(1,(Working_Data!$A$2:$A$2000=$A29)*(Working_Data!$B$2:$B$2000=YEAR(S$5))*(Working_Data!$C$2:$C$2000=TEXT(S$5,"mmmm")),0),MATCH($B29,Working_Data!$D$1:$AD$1,0))</f>
        <v>165.4</v>
      </c>
      <c r="T29" s="185" cm="1">
        <f t="array" ref="T29">INDEX(Working_Data!$D$2:$AD$2000,MATCH(1,(Working_Data!$A$2:$A$2000=$A29)*(Working_Data!$B$2:$B$2000=YEAR(T$5))*(Working_Data!$C$2:$C$2000=TEXT(T$5,"mmmm")),0),MATCH($B29,Working_Data!$D$1:$AD$1,0))</f>
        <v>166</v>
      </c>
      <c r="U29" s="185" cm="1">
        <f t="array" ref="U29">INDEX(Working_Data!$D$2:$AD$2000,MATCH(1,(Working_Data!$A$2:$A$2000=$A29)*(Working_Data!$B$2:$B$2000=YEAR(U$5))*(Working_Data!$C$2:$C$2000=TEXT(U$5,"mmmm")),0),MATCH($B29,Working_Data!$D$1:$AD$1,0))</f>
        <v>166.9</v>
      </c>
      <c r="V29" s="185" cm="1">
        <f t="array" ref="V29">INDEX(Working_Data!$D$2:$AD$2000,MATCH(1,(Working_Data!$A$2:$A$2000=$A29)*(Working_Data!$B$2:$B$2000=YEAR(V$5))*(Working_Data!$C$2:$C$2000=TEXT(V$5,"mmmm")),0),MATCH($B29,Working_Data!$D$1:$AD$1,0))</f>
        <v>167.9</v>
      </c>
      <c r="W29" s="185" cm="1">
        <f t="array" ref="W29">INDEX(Working_Data!$D$2:$AD$2000,MATCH(1,(Working_Data!$A$2:$A$2000=$A29)*(Working_Data!$B$2:$B$2000=YEAR(W$5))*(Working_Data!$C$2:$C$2000=TEXT(W$5,"mmmm")),0),MATCH($B29,Working_Data!$D$1:$AD$1,0))</f>
        <v>169</v>
      </c>
      <c r="X29" s="185" cm="1">
        <f t="array" ref="X29">INDEX(Working_Data!$D$2:$AD$2000,MATCH(1,(Working_Data!$A$2:$A$2000=$A29)*(Working_Data!$B$2:$B$2000=YEAR(X$5))*(Working_Data!$C$2:$C$2000=TEXT(X$5,"mmmm")),0),MATCH($B29,Working_Data!$D$1:$AD$1,0))</f>
        <v>171.4</v>
      </c>
      <c r="Y29" s="185" cm="1">
        <f t="array" ref="Y29">INDEX(Working_Data!$D$2:$AD$2000,MATCH(1,(Working_Data!$A$2:$A$2000=$A29)*(Working_Data!$B$2:$B$2000=YEAR(Y$5))*(Working_Data!$C$2:$C$2000=TEXT(Y$5,"mmmm")),0),MATCH($B29,Working_Data!$D$1:$AD$1,0))</f>
        <v>172.3</v>
      </c>
      <c r="Z29" s="185" cm="1">
        <f t="array" ref="Z29">INDEX(Working_Data!$D$2:$AD$2000,MATCH(1,(Working_Data!$A$2:$A$2000=$A29)*(Working_Data!$B$2:$B$2000=YEAR(Z$5))*(Working_Data!$C$2:$C$2000=TEXT(Z$5,"mmmm")),0),MATCH($B29,Working_Data!$D$1:$AD$1,0))</f>
        <v>173.1</v>
      </c>
      <c r="AA29" s="185" cm="1">
        <f t="array" ref="AA29">INDEX(Working_Data!$D$2:$AD$2000,MATCH(1,(Working_Data!$A$2:$A$2000=$A29)*(Working_Data!$B$2:$B$2000=YEAR(AA$5))*(Working_Data!$C$2:$C$2000=TEXT(AA$5,"mmmm")),0),MATCH($B29,Working_Data!$D$1:$AD$1,0))</f>
        <v>173.4</v>
      </c>
      <c r="AB29" s="185" cm="1">
        <f t="array" ref="AB29">INDEX(Working_Data!$D$2:$AD$2000,MATCH(1,(Working_Data!$A$2:$A$2000=$A29)*(Working_Data!$B$2:$B$2000=YEAR(AB$5))*(Working_Data!$C$2:$C$2000=TEXT(AB$5,"mmmm")),0),MATCH($B29,Working_Data!$D$1:$AD$1,0))</f>
        <v>173.7</v>
      </c>
      <c r="AC29" s="185" cm="1">
        <f t="array" ref="AC29">INDEX(Working_Data!$D$2:$AD$2000,MATCH(1,(Working_Data!$A$2:$A$2000=$A29)*(Working_Data!$B$2:$B$2000=YEAR(AC$5))*(Working_Data!$C$2:$C$2000=TEXT(AC$5,"mmmm")),0),MATCH($B29,Working_Data!$D$1:$AD$1,0))</f>
        <v>174.1</v>
      </c>
      <c r="AD29" s="185" cm="1">
        <f t="array" ref="AD29">INDEX(Working_Data!$D$2:$AD$2000,MATCH(1,(Working_Data!$A$2:$A$2000=$A29)*(Working_Data!$B$2:$B$2000=YEAR(AD$5))*(Working_Data!$C$2:$C$2000=TEXT(AD$5,"mmmm")),0),MATCH($B29,Working_Data!$D$1:$AD$1,0))</f>
        <v>174.3</v>
      </c>
      <c r="AE29" s="185" cm="1">
        <f t="array" ref="AE29">INDEX(Working_Data!$D$2:$AD$2000,MATCH(1,(Working_Data!$A$2:$A$2000=$A29)*(Working_Data!$B$2:$B$2000=YEAR(AE$5))*(Working_Data!$C$2:$C$2000=TEXT(AE$5,"mmmm")),0),MATCH($B29,Working_Data!$D$1:$AD$1,0))</f>
        <v>175</v>
      </c>
      <c r="AF29" s="185" cm="1">
        <f t="array" ref="AF29">INDEX(Working_Data!$D$2:$AD$2000,MATCH(1,(Working_Data!$A$2:$A$2000=$A29)*(Working_Data!$B$2:$B$2000=YEAR(AF$5))*(Working_Data!$C$2:$C$2000=TEXT(AF$5,"mmmm")),0),MATCH($B29,Working_Data!$D$1:$AD$1,0))</f>
        <v>175</v>
      </c>
      <c r="AG29" s="185" cm="1">
        <f t="array" ref="AG29">INDEX(Working_Data!$D$2:$AD$2000,MATCH(1,(Working_Data!$A$2:$A$2000=$A29)*(Working_Data!$B$2:$B$2000=YEAR(AG$5))*(Working_Data!$C$2:$C$2000=TEXT(AG$5,"mmmm")),0),MATCH($B29,Working_Data!$D$1:$AD$1,0))</f>
        <v>176.4</v>
      </c>
      <c r="AH29" s="185" cm="1">
        <f t="array" ref="AH29">INDEX(Working_Data!$D$2:$AD$2000,MATCH(1,(Working_Data!$A$2:$A$2000=$A29)*(Working_Data!$B$2:$B$2000=YEAR(AH$5))*(Working_Data!$C$2:$C$2000=TEXT(AH$5,"mmmm")),0),MATCH($B29,Working_Data!$D$1:$AD$1,0))</f>
        <v>177.1</v>
      </c>
      <c r="AI29" s="185" t="s">
        <v>47</v>
      </c>
      <c r="AJ29" s="185" t="s">
        <v>47</v>
      </c>
      <c r="AK29" s="185" t="s">
        <v>47</v>
      </c>
      <c r="AL29" s="185" t="s">
        <v>47</v>
      </c>
      <c r="AM29" s="185" t="s">
        <v>47</v>
      </c>
      <c r="AN29" s="185" t="s">
        <v>47</v>
      </c>
      <c r="AO29" s="186" t="s">
        <v>47</v>
      </c>
    </row>
    <row r="30" spans="1:41" s="181" customFormat="1" ht="28.8" x14ac:dyDescent="0.3">
      <c r="A30" s="182" t="s">
        <v>34</v>
      </c>
      <c r="B30" s="183" t="s">
        <v>27</v>
      </c>
      <c r="C30" s="183" t="str">
        <f>_xlfn.XLOOKUP(B30,CPI_Category_Mapping[Category],CPI_Category_Mapping[New Food Category])</f>
        <v>Luxury</v>
      </c>
      <c r="D30" s="184">
        <f>CORREL(F30:AH30,'Crude Oil Price'!$B$5:$B$33)</f>
        <v>0.39771953056415421</v>
      </c>
      <c r="E30" s="185" cm="1">
        <f t="array" ref="E30">INDEX(Working_Data!$D$2:$AD$2000,MATCH(1,(Working_Data!$A$2:$A$2000=$A30)*(Working_Data!$B$2:$B$2000=YEAR(E$5))*(Working_Data!$C$2:$C$2000=TEXT(E$5,"mmmm")),0),MATCH($B30,Working_Data!$D$1:$AD$1,0))</f>
        <v>157.1</v>
      </c>
      <c r="F30" s="185" cm="1">
        <f t="array" ref="F30">INDEX(Working_Data!$D$2:$AD$2000,MATCH(1,(Working_Data!$A$2:$A$2000=$A30)*(Working_Data!$B$2:$B$2000=YEAR(F$5))*(Working_Data!$C$2:$C$2000=TEXT(F$5,"mmmm")),0),MATCH($B30,Working_Data!$D$1:$AD$1,0))</f>
        <v>156.80000000000001</v>
      </c>
      <c r="G30" s="185" cm="1">
        <f t="array" ref="G30">INDEX(Working_Data!$D$2:$AD$2000,MATCH(1,(Working_Data!$A$2:$A$2000=$A30)*(Working_Data!$B$2:$B$2000=YEAR(G$5))*(Working_Data!$C$2:$C$2000=TEXT(G$5,"mmmm")),0),MATCH($B30,Working_Data!$D$1:$AD$1,0))</f>
        <v>155.80000000000001</v>
      </c>
      <c r="H30" s="185" cm="1">
        <f t="array" ref="H30">INDEX(Working_Data!$D$2:$AD$2000,MATCH(1,(Working_Data!$A$2:$A$2000=$A30)*(Working_Data!$B$2:$B$2000=YEAR(H$5))*(Working_Data!$C$2:$C$2000=TEXT(H$5,"mmmm")),0),MATCH($B30,Working_Data!$D$1:$AD$1,0))</f>
        <v>153.80000000000001</v>
      </c>
      <c r="I30" s="185" cm="1">
        <f t="array" ref="I30">INDEX(Working_Data!$D$2:$AD$2000,MATCH(1,(Working_Data!$A$2:$A$2000=$A30)*(Working_Data!$B$2:$B$2000=YEAR(I$5))*(Working_Data!$C$2:$C$2000=TEXT(I$5,"mmmm")),0),MATCH($B30,Working_Data!$D$1:$AD$1,0))</f>
        <v>155.4</v>
      </c>
      <c r="J30" s="185" cm="1">
        <f t="array" ref="J30">INDEX(Working_Data!$D$2:$AD$2000,MATCH(1,(Working_Data!$A$2:$A$2000=$A30)*(Working_Data!$B$2:$B$2000=YEAR(J$5))*(Working_Data!$C$2:$C$2000=TEXT(J$5,"mmmm")),0),MATCH($B30,Working_Data!$D$1:$AD$1,0))</f>
        <v>158.6</v>
      </c>
      <c r="K30" s="185" cm="1">
        <f t="array" ref="K30">INDEX(Working_Data!$D$2:$AD$2000,MATCH(1,(Working_Data!$A$2:$A$2000=$A30)*(Working_Data!$B$2:$B$2000=YEAR(K$5))*(Working_Data!$C$2:$C$2000=TEXT(K$5,"mmmm")),0),MATCH($B30,Working_Data!$D$1:$AD$1,0))</f>
        <v>158.80000000000001</v>
      </c>
      <c r="L30" s="185" cm="1">
        <f t="array" ref="L30">INDEX(Working_Data!$D$2:$AD$2000,MATCH(1,(Working_Data!$A$2:$A$2000=$A30)*(Working_Data!$B$2:$B$2000=YEAR(L$5))*(Working_Data!$C$2:$C$2000=TEXT(L$5,"mmmm")),0),MATCH($B30,Working_Data!$D$1:$AD$1,0))</f>
        <v>160.1</v>
      </c>
      <c r="M30" s="185" cm="1">
        <f t="array" ref="M30">INDEX(Working_Data!$D$2:$AD$2000,MATCH(1,(Working_Data!$A$2:$A$2000=$A30)*(Working_Data!$B$2:$B$2000=YEAR(M$5))*(Working_Data!$C$2:$C$2000=TEXT(M$5,"mmmm")),0),MATCH($B30,Working_Data!$D$1:$AD$1,0))</f>
        <v>160</v>
      </c>
      <c r="N30" s="185" cm="1">
        <f t="array" ref="N30">INDEX(Working_Data!$D$2:$AD$2000,MATCH(1,(Working_Data!$A$2:$A$2000=$A30)*(Working_Data!$B$2:$B$2000=YEAR(N$5))*(Working_Data!$C$2:$C$2000=TEXT(N$5,"mmmm")),0),MATCH($B30,Working_Data!$D$1:$AD$1,0))</f>
        <v>160</v>
      </c>
      <c r="O30" s="185" cm="1">
        <f t="array" ref="O30">INDEX(Working_Data!$D$2:$AD$2000,MATCH(1,(Working_Data!$A$2:$A$2000=$A30)*(Working_Data!$B$2:$B$2000=YEAR(O$5))*(Working_Data!$C$2:$C$2000=TEXT(O$5,"mmmm")),0),MATCH($B30,Working_Data!$D$1:$AD$1,0))</f>
        <v>160.80000000000001</v>
      </c>
      <c r="P30" s="185" cm="1">
        <f t="array" ref="P30">INDEX(Working_Data!$D$2:$AD$2000,MATCH(1,(Working_Data!$A$2:$A$2000=$A30)*(Working_Data!$B$2:$B$2000=YEAR(P$5))*(Working_Data!$C$2:$C$2000=TEXT(P$5,"mmmm")),0),MATCH($B30,Working_Data!$D$1:$AD$1,0))</f>
        <v>162.19999999999999</v>
      </c>
      <c r="Q30" s="185" cm="1">
        <f t="array" ref="Q30">INDEX(Working_Data!$D$2:$AD$2000,MATCH(1,(Working_Data!$A$2:$A$2000=$A30)*(Working_Data!$B$2:$B$2000=YEAR(Q$5))*(Working_Data!$C$2:$C$2000=TEXT(Q$5,"mmmm")),0),MATCH($B30,Working_Data!$D$1:$AD$1,0))</f>
        <v>162.6</v>
      </c>
      <c r="R30" s="185" cm="1">
        <f t="array" ref="R30">INDEX(Working_Data!$D$2:$AD$2000,MATCH(1,(Working_Data!$A$2:$A$2000=$A30)*(Working_Data!$B$2:$B$2000=YEAR(R$5))*(Working_Data!$C$2:$C$2000=TEXT(R$5,"mmmm")),0),MATCH($B30,Working_Data!$D$1:$AD$1,0))</f>
        <v>163</v>
      </c>
      <c r="S30" s="185" cm="1">
        <f t="array" ref="S30">INDEX(Working_Data!$D$2:$AD$2000,MATCH(1,(Working_Data!$A$2:$A$2000=$A30)*(Working_Data!$B$2:$B$2000=YEAR(S$5))*(Working_Data!$C$2:$C$2000=TEXT(S$5,"mmmm")),0),MATCH($B30,Working_Data!$D$1:$AD$1,0))</f>
        <v>164.4</v>
      </c>
      <c r="T30" s="185" cm="1">
        <f t="array" ref="T30">INDEX(Working_Data!$D$2:$AD$2000,MATCH(1,(Working_Data!$A$2:$A$2000=$A30)*(Working_Data!$B$2:$B$2000=YEAR(T$5))*(Working_Data!$C$2:$C$2000=TEXT(T$5,"mmmm")),0),MATCH($B30,Working_Data!$D$1:$AD$1,0))</f>
        <v>167.2</v>
      </c>
      <c r="U30" s="185" cm="1">
        <f t="array" ref="U30">INDEX(Working_Data!$D$2:$AD$2000,MATCH(1,(Working_Data!$A$2:$A$2000=$A30)*(Working_Data!$B$2:$B$2000=YEAR(U$5))*(Working_Data!$C$2:$C$2000=TEXT(U$5,"mmmm")),0),MATCH($B30,Working_Data!$D$1:$AD$1,0))</f>
        <v>168.8</v>
      </c>
      <c r="V30" s="185" cm="1">
        <f t="array" ref="V30">INDEX(Working_Data!$D$2:$AD$2000,MATCH(1,(Working_Data!$A$2:$A$2000=$A30)*(Working_Data!$B$2:$B$2000=YEAR(V$5))*(Working_Data!$C$2:$C$2000=TEXT(V$5,"mmmm")),0),MATCH($B30,Working_Data!$D$1:$AD$1,0))</f>
        <v>168.4</v>
      </c>
      <c r="W30" s="185" cm="1">
        <f t="array" ref="W30">INDEX(Working_Data!$D$2:$AD$2000,MATCH(1,(Working_Data!$A$2:$A$2000=$A30)*(Working_Data!$B$2:$B$2000=YEAR(W$5))*(Working_Data!$C$2:$C$2000=TEXT(W$5,"mmmm")),0),MATCH($B30,Working_Data!$D$1:$AD$1,0))</f>
        <v>169.4</v>
      </c>
      <c r="X30" s="185" cm="1">
        <f t="array" ref="X30">INDEX(Working_Data!$D$2:$AD$2000,MATCH(1,(Working_Data!$A$2:$A$2000=$A30)*(Working_Data!$B$2:$B$2000=YEAR(X$5))*(Working_Data!$C$2:$C$2000=TEXT(X$5,"mmmm")),0),MATCH($B30,Working_Data!$D$1:$AD$1,0))</f>
        <v>169.7</v>
      </c>
      <c r="Y30" s="185" cm="1">
        <f t="array" ref="Y30">INDEX(Working_Data!$D$2:$AD$2000,MATCH(1,(Working_Data!$A$2:$A$2000=$A30)*(Working_Data!$B$2:$B$2000=YEAR(Y$5))*(Working_Data!$C$2:$C$2000=TEXT(Y$5,"mmmm")),0),MATCH($B30,Working_Data!$D$1:$AD$1,0))</f>
        <v>171.2</v>
      </c>
      <c r="Z30" s="185" cm="1">
        <f t="array" ref="Z30">INDEX(Working_Data!$D$2:$AD$2000,MATCH(1,(Working_Data!$A$2:$A$2000=$A30)*(Working_Data!$B$2:$B$2000=YEAR(Z$5))*(Working_Data!$C$2:$C$2000=TEXT(Z$5,"mmmm")),0),MATCH($B30,Working_Data!$D$1:$AD$1,0))</f>
        <v>170.9</v>
      </c>
      <c r="AA30" s="185" cm="1">
        <f t="array" ref="AA30">INDEX(Working_Data!$D$2:$AD$2000,MATCH(1,(Working_Data!$A$2:$A$2000=$A30)*(Working_Data!$B$2:$B$2000=YEAR(AA$5))*(Working_Data!$C$2:$C$2000=TEXT(AA$5,"mmmm")),0),MATCH($B30,Working_Data!$D$1:$AD$1,0))</f>
        <v>172.1</v>
      </c>
      <c r="AB30" s="185" cm="1">
        <f t="array" ref="AB30">INDEX(Working_Data!$D$2:$AD$2000,MATCH(1,(Working_Data!$A$2:$A$2000=$A30)*(Working_Data!$B$2:$B$2000=YEAR(AB$5))*(Working_Data!$C$2:$C$2000=TEXT(AB$5,"mmmm")),0),MATCH($B30,Working_Data!$D$1:$AD$1,0))</f>
        <v>173.6</v>
      </c>
      <c r="AC30" s="185" cm="1">
        <f t="array" ref="AC30">INDEX(Working_Data!$D$2:$AD$2000,MATCH(1,(Working_Data!$A$2:$A$2000=$A30)*(Working_Data!$B$2:$B$2000=YEAR(AC$5))*(Working_Data!$C$2:$C$2000=TEXT(AC$5,"mmmm")),0),MATCH($B30,Working_Data!$D$1:$AD$1,0))</f>
        <v>175.8</v>
      </c>
      <c r="AD30" s="185" cm="1">
        <f t="array" ref="AD30">INDEX(Working_Data!$D$2:$AD$2000,MATCH(1,(Working_Data!$A$2:$A$2000=$A30)*(Working_Data!$B$2:$B$2000=YEAR(AD$5))*(Working_Data!$C$2:$C$2000=TEXT(AD$5,"mmmm")),0),MATCH($B30,Working_Data!$D$1:$AD$1,0))</f>
        <v>178.6</v>
      </c>
      <c r="AE30" s="185" cm="1">
        <f t="array" ref="AE30">INDEX(Working_Data!$D$2:$AD$2000,MATCH(1,(Working_Data!$A$2:$A$2000=$A30)*(Working_Data!$B$2:$B$2000=YEAR(AE$5))*(Working_Data!$C$2:$C$2000=TEXT(AE$5,"mmmm")),0),MATCH($B30,Working_Data!$D$1:$AD$1,0))</f>
        <v>181</v>
      </c>
      <c r="AF30" s="185" cm="1">
        <f t="array" ref="AF30">INDEX(Working_Data!$D$2:$AD$2000,MATCH(1,(Working_Data!$A$2:$A$2000=$A30)*(Working_Data!$B$2:$B$2000=YEAR(AF$5))*(Working_Data!$C$2:$C$2000=TEXT(AF$5,"mmmm")),0),MATCH($B30,Working_Data!$D$1:$AD$1,0))</f>
        <v>181</v>
      </c>
      <c r="AG30" s="185" cm="1">
        <f t="array" ref="AG30">INDEX(Working_Data!$D$2:$AD$2000,MATCH(1,(Working_Data!$A$2:$A$2000=$A30)*(Working_Data!$B$2:$B$2000=YEAR(AG$5))*(Working_Data!$C$2:$C$2000=TEXT(AG$5,"mmmm")),0),MATCH($B30,Working_Data!$D$1:$AD$1,0))</f>
        <v>184</v>
      </c>
      <c r="AH30" s="185" cm="1">
        <f t="array" ref="AH30">INDEX(Working_Data!$D$2:$AD$2000,MATCH(1,(Working_Data!$A$2:$A$2000=$A30)*(Working_Data!$B$2:$B$2000=YEAR(AH$5))*(Working_Data!$C$2:$C$2000=TEXT(AH$5,"mmmm")),0),MATCH($B30,Working_Data!$D$1:$AD$1,0))</f>
        <v>185.2</v>
      </c>
      <c r="AI30" s="185" t="s">
        <v>47</v>
      </c>
      <c r="AJ30" s="185" t="s">
        <v>47</v>
      </c>
      <c r="AK30" s="185" t="s">
        <v>47</v>
      </c>
      <c r="AL30" s="185" t="s">
        <v>47</v>
      </c>
      <c r="AM30" s="185" t="s">
        <v>47</v>
      </c>
      <c r="AN30" s="185" t="s">
        <v>47</v>
      </c>
      <c r="AO30" s="186" t="s">
        <v>47</v>
      </c>
    </row>
    <row r="31" spans="1:41" s="181" customFormat="1" ht="15" thickBot="1" x14ac:dyDescent="0.35">
      <c r="A31" s="187" t="s">
        <v>34</v>
      </c>
      <c r="B31" s="188" t="s">
        <v>28</v>
      </c>
      <c r="C31" s="188" t="str">
        <f>_xlfn.XLOOKUP(B31,CPI_Category_Mapping[Category],CPI_Category_Mapping[New Food Category])</f>
        <v xml:space="preserve">Other expenses </v>
      </c>
      <c r="D31" s="189">
        <f>CORREL(F31:AH31,'Crude Oil Price'!$B$5:$B$33)</f>
        <v>0.53388417270072297</v>
      </c>
      <c r="E31" s="190" cm="1">
        <f t="array" ref="E31">INDEX(Working_Data!$D$2:$AD$2000,MATCH(1,(Working_Data!$A$2:$A$2000=$A31)*(Working_Data!$B$2:$B$2000=YEAR(E$5))*(Working_Data!$C$2:$C$2000=TEXT(E$5,"mmmm")),0),MATCH($B31,Working_Data!$D$1:$AD$1,0))</f>
        <v>151.19999999999999</v>
      </c>
      <c r="F31" s="190" cm="1">
        <f t="array" ref="F31">INDEX(Working_Data!$D$2:$AD$2000,MATCH(1,(Working_Data!$A$2:$A$2000=$A31)*(Working_Data!$B$2:$B$2000=YEAR(F$5))*(Working_Data!$C$2:$C$2000=TEXT(F$5,"mmmm")),0),MATCH($B31,Working_Data!$D$1:$AD$1,0))</f>
        <v>151.9</v>
      </c>
      <c r="G31" s="190" cm="1">
        <f t="array" ref="G31">INDEX(Working_Data!$D$2:$AD$2000,MATCH(1,(Working_Data!$A$2:$A$2000=$A31)*(Working_Data!$B$2:$B$2000=YEAR(G$5))*(Working_Data!$C$2:$C$2000=TEXT(G$5,"mmmm")),0),MATCH($B31,Working_Data!$D$1:$AD$1,0))</f>
        <v>153.4</v>
      </c>
      <c r="H31" s="190" cm="1">
        <f t="array" ref="H31">INDEX(Working_Data!$D$2:$AD$2000,MATCH(1,(Working_Data!$A$2:$A$2000=$A31)*(Working_Data!$B$2:$B$2000=YEAR(H$5))*(Working_Data!$C$2:$C$2000=TEXT(H$5,"mmmm")),0),MATCH($B31,Working_Data!$D$1:$AD$1,0))</f>
        <v>153.80000000000001</v>
      </c>
      <c r="I31" s="190" cm="1">
        <f t="array" ref="I31">INDEX(Working_Data!$D$2:$AD$2000,MATCH(1,(Working_Data!$A$2:$A$2000=$A31)*(Working_Data!$B$2:$B$2000=YEAR(I$5))*(Working_Data!$C$2:$C$2000=TEXT(I$5,"mmmm")),0),MATCH($B31,Working_Data!$D$1:$AD$1,0))</f>
        <v>154.4</v>
      </c>
      <c r="J31" s="190" cm="1">
        <f t="array" ref="J31">INDEX(Working_Data!$D$2:$AD$2000,MATCH(1,(Working_Data!$A$2:$A$2000=$A31)*(Working_Data!$B$2:$B$2000=YEAR(J$5))*(Working_Data!$C$2:$C$2000=TEXT(J$5,"mmmm")),0),MATCH($B31,Working_Data!$D$1:$AD$1,0))</f>
        <v>156.80000000000001</v>
      </c>
      <c r="K31" s="190" cm="1">
        <f t="array" ref="K31">INDEX(Working_Data!$D$2:$AD$2000,MATCH(1,(Working_Data!$A$2:$A$2000=$A31)*(Working_Data!$B$2:$B$2000=YEAR(K$5))*(Working_Data!$C$2:$C$2000=TEXT(K$5,"mmmm")),0),MATCH($B31,Working_Data!$D$1:$AD$1,0))</f>
        <v>157.6</v>
      </c>
      <c r="L31" s="190" cm="1">
        <f t="array" ref="L31">INDEX(Working_Data!$D$2:$AD$2000,MATCH(1,(Working_Data!$A$2:$A$2000=$A31)*(Working_Data!$B$2:$B$2000=YEAR(L$5))*(Working_Data!$C$2:$C$2000=TEXT(L$5,"mmmm")),0),MATCH($B31,Working_Data!$D$1:$AD$1,0))</f>
        <v>159</v>
      </c>
      <c r="M31" s="190" cm="1">
        <f t="array" ref="M31">INDEX(Working_Data!$D$2:$AD$2000,MATCH(1,(Working_Data!$A$2:$A$2000=$A31)*(Working_Data!$B$2:$B$2000=YEAR(M$5))*(Working_Data!$C$2:$C$2000=TEXT(M$5,"mmmm")),0),MATCH($B31,Working_Data!$D$1:$AD$1,0))</f>
        <v>160</v>
      </c>
      <c r="N31" s="190" cm="1">
        <f t="array" ref="N31">INDEX(Working_Data!$D$2:$AD$2000,MATCH(1,(Working_Data!$A$2:$A$2000=$A31)*(Working_Data!$B$2:$B$2000=YEAR(N$5))*(Working_Data!$C$2:$C$2000=TEXT(N$5,"mmmm")),0),MATCH($B31,Working_Data!$D$1:$AD$1,0))</f>
        <v>160</v>
      </c>
      <c r="O31" s="190" cm="1">
        <f t="array" ref="O31">INDEX(Working_Data!$D$2:$AD$2000,MATCH(1,(Working_Data!$A$2:$A$2000=$A31)*(Working_Data!$B$2:$B$2000=YEAR(O$5))*(Working_Data!$C$2:$C$2000=TEXT(O$5,"mmmm")),0),MATCH($B31,Working_Data!$D$1:$AD$1,0))</f>
        <v>161</v>
      </c>
      <c r="P31" s="190" cm="1">
        <f t="array" ref="P31">INDEX(Working_Data!$D$2:$AD$2000,MATCH(1,(Working_Data!$A$2:$A$2000=$A31)*(Working_Data!$B$2:$B$2000=YEAR(P$5))*(Working_Data!$C$2:$C$2000=TEXT(P$5,"mmmm")),0),MATCH($B31,Working_Data!$D$1:$AD$1,0))</f>
        <v>161.4</v>
      </c>
      <c r="Q31" s="190" cm="1">
        <f t="array" ref="Q31">INDEX(Working_Data!$D$2:$AD$2000,MATCH(1,(Working_Data!$A$2:$A$2000=$A31)*(Working_Data!$B$2:$B$2000=YEAR(Q$5))*(Working_Data!$C$2:$C$2000=TEXT(Q$5,"mmmm")),0),MATCH($B31,Working_Data!$D$1:$AD$1,0))</f>
        <v>162</v>
      </c>
      <c r="R31" s="190" cm="1">
        <f t="array" ref="R31">INDEX(Working_Data!$D$2:$AD$2000,MATCH(1,(Working_Data!$A$2:$A$2000=$A31)*(Working_Data!$B$2:$B$2000=YEAR(R$5))*(Working_Data!$C$2:$C$2000=TEXT(R$5,"mmmm")),0),MATCH($B31,Working_Data!$D$1:$AD$1,0))</f>
        <v>162.69999999999999</v>
      </c>
      <c r="S31" s="190" cm="1">
        <f t="array" ref="S31">INDEX(Working_Data!$D$2:$AD$2000,MATCH(1,(Working_Data!$A$2:$A$2000=$A31)*(Working_Data!$B$2:$B$2000=YEAR(S$5))*(Working_Data!$C$2:$C$2000=TEXT(S$5,"mmmm")),0),MATCH($B31,Working_Data!$D$1:$AD$1,0))</f>
        <v>163.5</v>
      </c>
      <c r="T31" s="190" cm="1">
        <f t="array" ref="T31">INDEX(Working_Data!$D$2:$AD$2000,MATCH(1,(Working_Data!$A$2:$A$2000=$A31)*(Working_Data!$B$2:$B$2000=YEAR(T$5))*(Working_Data!$C$2:$C$2000=TEXT(T$5,"mmmm")),0),MATCH($B31,Working_Data!$D$1:$AD$1,0))</f>
        <v>164.6</v>
      </c>
      <c r="U31" s="190" cm="1">
        <f t="array" ref="U31">INDEX(Working_Data!$D$2:$AD$2000,MATCH(1,(Working_Data!$A$2:$A$2000=$A31)*(Working_Data!$B$2:$B$2000=YEAR(U$5))*(Working_Data!$C$2:$C$2000=TEXT(U$5,"mmmm")),0),MATCH($B31,Working_Data!$D$1:$AD$1,0))</f>
        <v>166.8</v>
      </c>
      <c r="V31" s="190" cm="1">
        <f t="array" ref="V31">INDEX(Working_Data!$D$2:$AD$2000,MATCH(1,(Working_Data!$A$2:$A$2000=$A31)*(Working_Data!$B$2:$B$2000=YEAR(V$5))*(Working_Data!$C$2:$C$2000=TEXT(V$5,"mmmm")),0),MATCH($B31,Working_Data!$D$1:$AD$1,0))</f>
        <v>167.5</v>
      </c>
      <c r="W31" s="190" cm="1">
        <f t="array" ref="W31">INDEX(Working_Data!$D$2:$AD$2000,MATCH(1,(Working_Data!$A$2:$A$2000=$A31)*(Working_Data!$B$2:$B$2000=YEAR(W$5))*(Working_Data!$C$2:$C$2000=TEXT(W$5,"mmmm")),0),MATCH($B31,Working_Data!$D$1:$AD$1,0))</f>
        <v>167.5</v>
      </c>
      <c r="X31" s="190" cm="1">
        <f t="array" ref="X31">INDEX(Working_Data!$D$2:$AD$2000,MATCH(1,(Working_Data!$A$2:$A$2000=$A31)*(Working_Data!$B$2:$B$2000=YEAR(X$5))*(Working_Data!$C$2:$C$2000=TEXT(X$5,"mmmm")),0),MATCH($B31,Working_Data!$D$1:$AD$1,0))</f>
        <v>168.4</v>
      </c>
      <c r="Y31" s="190" cm="1">
        <f t="array" ref="Y31">INDEX(Working_Data!$D$2:$AD$2000,MATCH(1,(Working_Data!$A$2:$A$2000=$A31)*(Working_Data!$B$2:$B$2000=YEAR(Y$5))*(Working_Data!$C$2:$C$2000=TEXT(Y$5,"mmmm")),0),MATCH($B31,Working_Data!$D$1:$AD$1,0))</f>
        <v>169.1</v>
      </c>
      <c r="Z31" s="190" cm="1">
        <f t="array" ref="Z31">INDEX(Working_Data!$D$2:$AD$2000,MATCH(1,(Working_Data!$A$2:$A$2000=$A31)*(Working_Data!$B$2:$B$2000=YEAR(Z$5))*(Working_Data!$C$2:$C$2000=TEXT(Z$5,"mmmm")),0),MATCH($B31,Working_Data!$D$1:$AD$1,0))</f>
        <v>169.7</v>
      </c>
      <c r="AA31" s="190" cm="1">
        <f t="array" ref="AA31">INDEX(Working_Data!$D$2:$AD$2000,MATCH(1,(Working_Data!$A$2:$A$2000=$A31)*(Working_Data!$B$2:$B$2000=YEAR(AA$5))*(Working_Data!$C$2:$C$2000=TEXT(AA$5,"mmmm")),0),MATCH($B31,Working_Data!$D$1:$AD$1,0))</f>
        <v>170.5</v>
      </c>
      <c r="AB31" s="190" cm="1">
        <f t="array" ref="AB31">INDEX(Working_Data!$D$2:$AD$2000,MATCH(1,(Working_Data!$A$2:$A$2000=$A31)*(Working_Data!$B$2:$B$2000=YEAR(AB$5))*(Working_Data!$C$2:$C$2000=TEXT(AB$5,"mmmm")),0),MATCH($B31,Working_Data!$D$1:$AD$1,0))</f>
        <v>171.1</v>
      </c>
      <c r="AC31" s="190" cm="1">
        <f t="array" ref="AC31">INDEX(Working_Data!$D$2:$AD$2000,MATCH(1,(Working_Data!$A$2:$A$2000=$A31)*(Working_Data!$B$2:$B$2000=YEAR(AC$5))*(Working_Data!$C$2:$C$2000=TEXT(AC$5,"mmmm")),0),MATCH($B31,Working_Data!$D$1:$AD$1,0))</f>
        <v>172</v>
      </c>
      <c r="AD31" s="190" cm="1">
        <f t="array" ref="AD31">INDEX(Working_Data!$D$2:$AD$2000,MATCH(1,(Working_Data!$A$2:$A$2000=$A31)*(Working_Data!$B$2:$B$2000=YEAR(AD$5))*(Working_Data!$C$2:$C$2000=TEXT(AD$5,"mmmm")),0),MATCH($B31,Working_Data!$D$1:$AD$1,0))</f>
        <v>172.8</v>
      </c>
      <c r="AE31" s="190" cm="1">
        <f t="array" ref="AE31">INDEX(Working_Data!$D$2:$AD$2000,MATCH(1,(Working_Data!$A$2:$A$2000=$A31)*(Working_Data!$B$2:$B$2000=YEAR(AE$5))*(Working_Data!$C$2:$C$2000=TEXT(AE$5,"mmmm")),0),MATCH($B31,Working_Data!$D$1:$AD$1,0))</f>
        <v>174.1</v>
      </c>
      <c r="AF31" s="190" cm="1">
        <f t="array" ref="AF31">INDEX(Working_Data!$D$2:$AD$2000,MATCH(1,(Working_Data!$A$2:$A$2000=$A31)*(Working_Data!$B$2:$B$2000=YEAR(AF$5))*(Working_Data!$C$2:$C$2000=TEXT(AF$5,"mmmm")),0),MATCH($B31,Working_Data!$D$1:$AD$1,0))</f>
        <v>174.1</v>
      </c>
      <c r="AG31" s="190" cm="1">
        <f t="array" ref="AG31">INDEX(Working_Data!$D$2:$AD$2000,MATCH(1,(Working_Data!$A$2:$A$2000=$A31)*(Working_Data!$B$2:$B$2000=YEAR(AG$5))*(Working_Data!$C$2:$C$2000=TEXT(AG$5,"mmmm")),0),MATCH($B31,Working_Data!$D$1:$AD$1,0))</f>
        <v>175</v>
      </c>
      <c r="AH31" s="190" cm="1">
        <f t="array" ref="AH31">INDEX(Working_Data!$D$2:$AD$2000,MATCH(1,(Working_Data!$A$2:$A$2000=$A31)*(Working_Data!$B$2:$B$2000=YEAR(AH$5))*(Working_Data!$C$2:$C$2000=TEXT(AH$5,"mmmm")),0),MATCH($B31,Working_Data!$D$1:$AD$1,0))</f>
        <v>175.7</v>
      </c>
      <c r="AI31" s="190" t="s">
        <v>47</v>
      </c>
      <c r="AJ31" s="190" t="s">
        <v>47</v>
      </c>
      <c r="AK31" s="190" t="s">
        <v>47</v>
      </c>
      <c r="AL31" s="190" t="s">
        <v>47</v>
      </c>
      <c r="AM31" s="190" t="s">
        <v>47</v>
      </c>
      <c r="AN31" s="190" t="s">
        <v>47</v>
      </c>
      <c r="AO31" s="191" t="s">
        <v>47</v>
      </c>
    </row>
    <row r="33" spans="1:6" ht="15" thickBot="1" x14ac:dyDescent="0.35"/>
    <row r="34" spans="1:6" ht="15" thickBot="1" x14ac:dyDescent="0.35">
      <c r="A34" s="207" t="s">
        <v>163</v>
      </c>
    </row>
    <row r="35" spans="1:6" x14ac:dyDescent="0.3">
      <c r="A35" s="162" t="s">
        <v>56</v>
      </c>
      <c r="B35" s="163" t="s">
        <v>85</v>
      </c>
      <c r="C35" s="164" t="s">
        <v>160</v>
      </c>
      <c r="D35" s="95"/>
      <c r="E35" s="95"/>
      <c r="F35" s="161"/>
    </row>
    <row r="36" spans="1:6" ht="15" thickBot="1" x14ac:dyDescent="0.35">
      <c r="A36" s="165" t="str">
        <f>_xlfn.XLOOKUP(MAX(D6:D31),D6:D31,B6:B31)</f>
        <v>Oils and fats</v>
      </c>
      <c r="B36" s="166" t="str">
        <f>_xlfn.XLOOKUP(MAX(D6:D31),D6:D31,C6:C31)</f>
        <v>Food</v>
      </c>
      <c r="C36" s="167">
        <f>MAX(D6:D31)</f>
        <v>0.80946650888407234</v>
      </c>
    </row>
    <row r="37" spans="1:6" x14ac:dyDescent="0.3">
      <c r="A37" s="46"/>
      <c r="B37" s="46"/>
    </row>
    <row r="38" spans="1:6" ht="15" thickBot="1" x14ac:dyDescent="0.35">
      <c r="A38" s="95"/>
      <c r="B38" s="95"/>
    </row>
    <row r="39" spans="1:6" x14ac:dyDescent="0.3">
      <c r="A39" s="238" t="s">
        <v>165</v>
      </c>
      <c r="B39" s="239"/>
      <c r="C39" s="239"/>
      <c r="D39" s="239"/>
      <c r="E39" s="239"/>
      <c r="F39" s="240"/>
    </row>
    <row r="40" spans="1:6" x14ac:dyDescent="0.3">
      <c r="A40" s="241"/>
      <c r="B40" s="242"/>
      <c r="C40" s="242"/>
      <c r="D40" s="242"/>
      <c r="E40" s="242"/>
      <c r="F40" s="243"/>
    </row>
    <row r="41" spans="1:6" x14ac:dyDescent="0.3">
      <c r="A41" s="241"/>
      <c r="B41" s="242"/>
      <c r="C41" s="242"/>
      <c r="D41" s="242"/>
      <c r="E41" s="242"/>
      <c r="F41" s="243"/>
    </row>
    <row r="42" spans="1:6" x14ac:dyDescent="0.3">
      <c r="A42" s="241"/>
      <c r="B42" s="242"/>
      <c r="C42" s="242"/>
      <c r="D42" s="242"/>
      <c r="E42" s="242"/>
      <c r="F42" s="243"/>
    </row>
    <row r="43" spans="1:6" x14ac:dyDescent="0.3">
      <c r="A43" s="241"/>
      <c r="B43" s="242"/>
      <c r="C43" s="242"/>
      <c r="D43" s="242"/>
      <c r="E43" s="242"/>
      <c r="F43" s="243"/>
    </row>
    <row r="44" spans="1:6" x14ac:dyDescent="0.3">
      <c r="A44" s="241"/>
      <c r="B44" s="242"/>
      <c r="C44" s="242"/>
      <c r="D44" s="242"/>
      <c r="E44" s="242"/>
      <c r="F44" s="243"/>
    </row>
    <row r="45" spans="1:6" x14ac:dyDescent="0.3">
      <c r="A45" s="241"/>
      <c r="B45" s="242"/>
      <c r="C45" s="242"/>
      <c r="D45" s="242"/>
      <c r="E45" s="242"/>
      <c r="F45" s="243"/>
    </row>
    <row r="46" spans="1:6" x14ac:dyDescent="0.3">
      <c r="A46" s="241"/>
      <c r="B46" s="242"/>
      <c r="C46" s="242"/>
      <c r="D46" s="242"/>
      <c r="E46" s="242"/>
      <c r="F46" s="243"/>
    </row>
    <row r="47" spans="1:6" x14ac:dyDescent="0.3">
      <c r="A47" s="241"/>
      <c r="B47" s="242"/>
      <c r="C47" s="242"/>
      <c r="D47" s="242"/>
      <c r="E47" s="242"/>
      <c r="F47" s="243"/>
    </row>
    <row r="48" spans="1:6" ht="15" thickBot="1" x14ac:dyDescent="0.35">
      <c r="A48" s="244"/>
      <c r="B48" s="245"/>
      <c r="C48" s="245"/>
      <c r="D48" s="245"/>
      <c r="E48" s="245"/>
      <c r="F48" s="246"/>
    </row>
  </sheetData>
  <mergeCells count="1">
    <mergeCell ref="A39:F48"/>
  </mergeCells>
  <conditionalFormatting sqref="D6:D3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2B8E1-11E3-4C53-A53D-17D9B797922A}">
  <dimension ref="A1:AC40"/>
  <sheetViews>
    <sheetView showGridLines="0" tabSelected="1" workbookViewId="0">
      <selection activeCell="C16" sqref="A16:C22"/>
    </sheetView>
  </sheetViews>
  <sheetFormatPr defaultRowHeight="14.4" x14ac:dyDescent="0.3"/>
  <cols>
    <col min="1" max="1" width="17.44140625" customWidth="1"/>
    <col min="2" max="2" width="15.77734375" customWidth="1"/>
    <col min="3" max="3" width="19.77734375" customWidth="1"/>
  </cols>
  <sheetData>
    <row r="1" spans="1:29" ht="15" thickBot="1" x14ac:dyDescent="0.35">
      <c r="A1" s="141" t="s">
        <v>157</v>
      </c>
      <c r="B1" s="144" t="s">
        <v>158</v>
      </c>
      <c r="C1" s="142"/>
      <c r="D1" s="142"/>
      <c r="E1" s="142"/>
      <c r="F1" s="142"/>
      <c r="AA1" s="142"/>
      <c r="AB1" s="142"/>
      <c r="AC1" s="143"/>
    </row>
    <row r="2" spans="1:29" ht="15" thickBot="1" x14ac:dyDescent="0.35"/>
    <row r="3" spans="1:29" ht="57.6" x14ac:dyDescent="0.3">
      <c r="A3" s="197" t="s">
        <v>154</v>
      </c>
      <c r="B3" s="198" t="s">
        <v>155</v>
      </c>
      <c r="C3" s="199" t="s">
        <v>156</v>
      </c>
      <c r="AA3" s="46" t="s">
        <v>2</v>
      </c>
      <c r="AB3" s="46" t="s">
        <v>1</v>
      </c>
      <c r="AC3" s="97" t="s">
        <v>153</v>
      </c>
    </row>
    <row r="4" spans="1:29" x14ac:dyDescent="0.3">
      <c r="A4" s="200">
        <v>44166</v>
      </c>
      <c r="B4" s="201">
        <v>49.84</v>
      </c>
      <c r="C4" s="202" t="s">
        <v>47</v>
      </c>
      <c r="AA4" s="116" t="s">
        <v>31</v>
      </c>
      <c r="AB4" s="117">
        <v>2021</v>
      </c>
    </row>
    <row r="5" spans="1:29" x14ac:dyDescent="0.3">
      <c r="A5" s="200">
        <v>44197</v>
      </c>
      <c r="B5" s="201">
        <v>54.79</v>
      </c>
      <c r="C5" s="203">
        <f>(B5-B4)/B4</f>
        <v>9.9317817014446141E-2</v>
      </c>
      <c r="AA5" s="116" t="s">
        <v>35</v>
      </c>
      <c r="AB5" s="117">
        <v>2021</v>
      </c>
    </row>
    <row r="6" spans="1:29" x14ac:dyDescent="0.3">
      <c r="A6" s="200">
        <v>44228</v>
      </c>
      <c r="B6" s="201">
        <v>61.22</v>
      </c>
      <c r="C6" s="203">
        <f t="shared" ref="C6:C33" si="0">(B6-B5)/B5</f>
        <v>0.11735718196751231</v>
      </c>
      <c r="AA6" s="116" t="s">
        <v>36</v>
      </c>
      <c r="AB6" s="117">
        <v>2021</v>
      </c>
    </row>
    <row r="7" spans="1:29" x14ac:dyDescent="0.3">
      <c r="A7" s="200">
        <v>44256</v>
      </c>
      <c r="B7" s="201">
        <v>64.73</v>
      </c>
      <c r="C7" s="203">
        <f t="shared" si="0"/>
        <v>5.7334204508330697E-2</v>
      </c>
      <c r="AA7" s="116" t="s">
        <v>37</v>
      </c>
      <c r="AB7" s="117">
        <v>2021</v>
      </c>
    </row>
    <row r="8" spans="1:29" x14ac:dyDescent="0.3">
      <c r="A8" s="200">
        <v>44287</v>
      </c>
      <c r="B8" s="201">
        <v>63.4</v>
      </c>
      <c r="C8" s="203">
        <f t="shared" si="0"/>
        <v>-2.0546887069365138E-2</v>
      </c>
      <c r="AA8" s="116" t="s">
        <v>38</v>
      </c>
      <c r="AB8" s="117">
        <v>2021</v>
      </c>
    </row>
    <row r="9" spans="1:29" x14ac:dyDescent="0.3">
      <c r="A9" s="200">
        <v>44317</v>
      </c>
      <c r="B9" s="201">
        <v>66.95</v>
      </c>
      <c r="C9" s="203">
        <f t="shared" si="0"/>
        <v>5.5993690851735084E-2</v>
      </c>
      <c r="AA9" s="116" t="s">
        <v>39</v>
      </c>
      <c r="AB9" s="117">
        <v>2021</v>
      </c>
    </row>
    <row r="10" spans="1:29" x14ac:dyDescent="0.3">
      <c r="A10" s="200">
        <v>44348</v>
      </c>
      <c r="B10" s="201">
        <v>71.98</v>
      </c>
      <c r="C10" s="203">
        <f t="shared" si="0"/>
        <v>7.5130694548170285E-2</v>
      </c>
      <c r="AA10" s="116" t="s">
        <v>40</v>
      </c>
      <c r="AB10" s="117">
        <v>2021</v>
      </c>
    </row>
    <row r="11" spans="1:29" x14ac:dyDescent="0.3">
      <c r="A11" s="200">
        <v>44378</v>
      </c>
      <c r="B11" s="201">
        <v>73.540000000000006</v>
      </c>
      <c r="C11" s="203">
        <f t="shared" si="0"/>
        <v>2.1672686857460436E-2</v>
      </c>
      <c r="AA11" s="116" t="s">
        <v>41</v>
      </c>
      <c r="AB11" s="117">
        <v>2021</v>
      </c>
    </row>
    <row r="12" spans="1:29" x14ac:dyDescent="0.3">
      <c r="A12" s="200">
        <v>44409</v>
      </c>
      <c r="B12" s="201">
        <v>69.8</v>
      </c>
      <c r="C12" s="203">
        <f t="shared" si="0"/>
        <v>-5.0856676638564163E-2</v>
      </c>
      <c r="AA12" s="116" t="s">
        <v>42</v>
      </c>
      <c r="AB12" s="117">
        <v>2021</v>
      </c>
    </row>
    <row r="13" spans="1:29" x14ac:dyDescent="0.3">
      <c r="A13" s="200">
        <v>44440</v>
      </c>
      <c r="B13" s="201">
        <v>73.13</v>
      </c>
      <c r="C13" s="203">
        <f t="shared" si="0"/>
        <v>4.7707736389684792E-2</v>
      </c>
      <c r="AA13" s="116" t="s">
        <v>43</v>
      </c>
      <c r="AB13" s="117">
        <v>2021</v>
      </c>
    </row>
    <row r="14" spans="1:29" x14ac:dyDescent="0.3">
      <c r="A14" s="200">
        <v>44470</v>
      </c>
      <c r="B14" s="201">
        <v>82.11</v>
      </c>
      <c r="C14" s="203">
        <f t="shared" si="0"/>
        <v>0.12279502256255989</v>
      </c>
      <c r="AA14" s="116" t="s">
        <v>44</v>
      </c>
      <c r="AB14" s="117">
        <v>2021</v>
      </c>
    </row>
    <row r="15" spans="1:29" x14ac:dyDescent="0.3">
      <c r="A15" s="200">
        <v>44501</v>
      </c>
      <c r="B15" s="201">
        <v>80.64</v>
      </c>
      <c r="C15" s="203">
        <f t="shared" si="0"/>
        <v>-1.7902813299232722E-2</v>
      </c>
      <c r="AA15" s="116" t="s">
        <v>45</v>
      </c>
      <c r="AB15" s="117">
        <v>2021</v>
      </c>
    </row>
    <row r="16" spans="1:29" x14ac:dyDescent="0.3">
      <c r="A16" s="200">
        <v>44531</v>
      </c>
      <c r="B16" s="201">
        <v>73.3</v>
      </c>
      <c r="C16" s="203">
        <f t="shared" si="0"/>
        <v>-9.1021825396825434E-2</v>
      </c>
      <c r="AA16" s="116" t="s">
        <v>31</v>
      </c>
      <c r="AB16" s="117">
        <v>2022</v>
      </c>
    </row>
    <row r="17" spans="1:28" x14ac:dyDescent="0.3">
      <c r="A17" s="200">
        <v>44562</v>
      </c>
      <c r="B17" s="201">
        <v>84.67</v>
      </c>
      <c r="C17" s="203">
        <f t="shared" si="0"/>
        <v>0.15511596180081863</v>
      </c>
      <c r="AA17" s="116" t="s">
        <v>35</v>
      </c>
      <c r="AB17" s="117">
        <v>2022</v>
      </c>
    </row>
    <row r="18" spans="1:28" ht="15" thickBot="1" x14ac:dyDescent="0.35">
      <c r="A18" s="200">
        <v>44593</v>
      </c>
      <c r="B18" s="201">
        <v>94.07</v>
      </c>
      <c r="C18" s="203">
        <f t="shared" si="0"/>
        <v>0.11101925121058216</v>
      </c>
      <c r="AA18" s="122" t="s">
        <v>36</v>
      </c>
      <c r="AB18" s="123">
        <v>2022</v>
      </c>
    </row>
    <row r="19" spans="1:28" ht="15" thickBot="1" x14ac:dyDescent="0.35">
      <c r="A19" s="200">
        <v>44621</v>
      </c>
      <c r="B19" s="201">
        <v>112.87</v>
      </c>
      <c r="C19" s="203">
        <f t="shared" si="0"/>
        <v>0.19985117465717034</v>
      </c>
      <c r="AA19" s="116" t="s">
        <v>37</v>
      </c>
      <c r="AB19" s="123">
        <v>2022</v>
      </c>
    </row>
    <row r="20" spans="1:28" ht="15" thickBot="1" x14ac:dyDescent="0.35">
      <c r="A20" s="200">
        <v>44652</v>
      </c>
      <c r="B20" s="201">
        <v>102.97</v>
      </c>
      <c r="C20" s="203">
        <f t="shared" si="0"/>
        <v>-8.7711526534951761E-2</v>
      </c>
      <c r="AA20" s="116" t="s">
        <v>38</v>
      </c>
      <c r="AB20" s="123">
        <v>2022</v>
      </c>
    </row>
    <row r="21" spans="1:28" ht="15" thickBot="1" x14ac:dyDescent="0.35">
      <c r="A21" s="200">
        <v>44682</v>
      </c>
      <c r="B21" s="201">
        <v>109.51</v>
      </c>
      <c r="C21" s="203">
        <f t="shared" si="0"/>
        <v>6.3513644750898379E-2</v>
      </c>
      <c r="AA21" s="116" t="s">
        <v>39</v>
      </c>
      <c r="AB21" s="123">
        <v>2022</v>
      </c>
    </row>
    <row r="22" spans="1:28" ht="15" thickBot="1" x14ac:dyDescent="0.35">
      <c r="A22" s="200">
        <v>44713</v>
      </c>
      <c r="B22" s="201">
        <v>116.01</v>
      </c>
      <c r="C22" s="203">
        <f t="shared" si="0"/>
        <v>5.9355310017350012E-2</v>
      </c>
      <c r="AA22" s="116" t="s">
        <v>40</v>
      </c>
      <c r="AB22" s="123">
        <v>2022</v>
      </c>
    </row>
    <row r="23" spans="1:28" ht="15" thickBot="1" x14ac:dyDescent="0.35">
      <c r="A23" s="200">
        <v>44743</v>
      </c>
      <c r="B23" s="201">
        <v>105.49</v>
      </c>
      <c r="C23" s="203">
        <f t="shared" si="0"/>
        <v>-9.0681837772605897E-2</v>
      </c>
      <c r="AA23" s="116" t="s">
        <v>41</v>
      </c>
      <c r="AB23" s="123">
        <v>2022</v>
      </c>
    </row>
    <row r="24" spans="1:28" ht="15" thickBot="1" x14ac:dyDescent="0.35">
      <c r="A24" s="200">
        <v>44774</v>
      </c>
      <c r="B24" s="201">
        <v>97.4</v>
      </c>
      <c r="C24" s="203">
        <f t="shared" si="0"/>
        <v>-7.6689733624040093E-2</v>
      </c>
      <c r="AA24" s="116" t="s">
        <v>42</v>
      </c>
      <c r="AB24" s="123">
        <v>2022</v>
      </c>
    </row>
    <row r="25" spans="1:28" ht="15" thickBot="1" x14ac:dyDescent="0.35">
      <c r="A25" s="200">
        <v>44805</v>
      </c>
      <c r="B25" s="201">
        <v>90.71</v>
      </c>
      <c r="C25" s="203">
        <f t="shared" si="0"/>
        <v>-6.8685831622176716E-2</v>
      </c>
      <c r="AA25" s="116" t="s">
        <v>43</v>
      </c>
      <c r="AB25" s="123">
        <v>2022</v>
      </c>
    </row>
    <row r="26" spans="1:28" ht="15" thickBot="1" x14ac:dyDescent="0.35">
      <c r="A26" s="200">
        <v>44835</v>
      </c>
      <c r="B26" s="201">
        <v>91.7</v>
      </c>
      <c r="C26" s="203">
        <f t="shared" si="0"/>
        <v>1.0913901444162818E-2</v>
      </c>
      <c r="AA26" s="116" t="s">
        <v>44</v>
      </c>
      <c r="AB26" s="123">
        <v>2022</v>
      </c>
    </row>
    <row r="27" spans="1:28" ht="15" thickBot="1" x14ac:dyDescent="0.35">
      <c r="A27" s="200">
        <v>44866</v>
      </c>
      <c r="B27" s="201">
        <v>87.55</v>
      </c>
      <c r="C27" s="203">
        <f t="shared" si="0"/>
        <v>-4.5256270447110204E-2</v>
      </c>
      <c r="AA27" s="116" t="s">
        <v>45</v>
      </c>
      <c r="AB27" s="123">
        <v>2022</v>
      </c>
    </row>
    <row r="28" spans="1:28" x14ac:dyDescent="0.3">
      <c r="A28" s="200">
        <v>44896</v>
      </c>
      <c r="B28" s="201">
        <v>78.099999999999994</v>
      </c>
      <c r="C28" s="203">
        <f t="shared" si="0"/>
        <v>-0.10793832095945177</v>
      </c>
      <c r="AA28" s="116" t="s">
        <v>31</v>
      </c>
      <c r="AB28" s="139">
        <v>2023</v>
      </c>
    </row>
    <row r="29" spans="1:28" x14ac:dyDescent="0.3">
      <c r="A29" s="200">
        <v>44927</v>
      </c>
      <c r="B29" s="201">
        <v>80.92</v>
      </c>
      <c r="C29" s="203">
        <f t="shared" si="0"/>
        <v>3.6107554417413666E-2</v>
      </c>
      <c r="AA29" s="116" t="s">
        <v>35</v>
      </c>
      <c r="AB29" s="139">
        <v>2023</v>
      </c>
    </row>
    <row r="30" spans="1:28" ht="15" thickBot="1" x14ac:dyDescent="0.35">
      <c r="A30" s="200">
        <v>44958</v>
      </c>
      <c r="B30" s="201">
        <v>82.28</v>
      </c>
      <c r="C30" s="203">
        <f t="shared" si="0"/>
        <v>1.6806722689075623E-2</v>
      </c>
      <c r="AA30" s="122" t="s">
        <v>36</v>
      </c>
      <c r="AB30" s="139">
        <v>2023</v>
      </c>
    </row>
    <row r="31" spans="1:28" x14ac:dyDescent="0.3">
      <c r="A31" s="200">
        <v>44986</v>
      </c>
      <c r="B31" s="201">
        <v>78.540000000000006</v>
      </c>
      <c r="C31" s="203">
        <f t="shared" si="0"/>
        <v>-4.5454545454545393E-2</v>
      </c>
      <c r="AA31" s="116" t="s">
        <v>37</v>
      </c>
      <c r="AB31" s="139">
        <v>2023</v>
      </c>
    </row>
    <row r="32" spans="1:28" x14ac:dyDescent="0.3">
      <c r="A32" s="200">
        <v>45017</v>
      </c>
      <c r="B32" s="201">
        <v>83.76</v>
      </c>
      <c r="C32" s="203">
        <f t="shared" si="0"/>
        <v>6.6462948815889974E-2</v>
      </c>
      <c r="AA32" s="116" t="s">
        <v>38</v>
      </c>
      <c r="AB32" s="139">
        <v>2023</v>
      </c>
    </row>
    <row r="33" spans="1:28" ht="15" thickBot="1" x14ac:dyDescent="0.35">
      <c r="A33" s="204">
        <v>45047</v>
      </c>
      <c r="B33" s="205">
        <v>74.98</v>
      </c>
      <c r="C33" s="206">
        <f t="shared" si="0"/>
        <v>-0.10482330468003821</v>
      </c>
      <c r="AA33" s="116" t="s">
        <v>39</v>
      </c>
      <c r="AB33" s="139">
        <v>2023</v>
      </c>
    </row>
    <row r="34" spans="1:28" x14ac:dyDescent="0.3">
      <c r="A34" s="138"/>
      <c r="C34" s="140"/>
      <c r="AA34" s="116" t="s">
        <v>40</v>
      </c>
      <c r="AB34" s="139">
        <v>2023</v>
      </c>
    </row>
    <row r="35" spans="1:28" x14ac:dyDescent="0.3">
      <c r="A35" s="138"/>
      <c r="C35" s="140"/>
      <c r="AA35" s="116" t="s">
        <v>41</v>
      </c>
      <c r="AB35" s="139">
        <v>2023</v>
      </c>
    </row>
    <row r="36" spans="1:28" x14ac:dyDescent="0.3">
      <c r="A36" s="138"/>
      <c r="C36" s="140"/>
      <c r="AA36" s="116" t="s">
        <v>42</v>
      </c>
      <c r="AB36" s="139">
        <v>2023</v>
      </c>
    </row>
    <row r="37" spans="1:28" x14ac:dyDescent="0.3">
      <c r="A37" s="138"/>
      <c r="C37" s="140"/>
      <c r="AA37" s="116" t="s">
        <v>43</v>
      </c>
      <c r="AB37" s="139">
        <v>2023</v>
      </c>
    </row>
    <row r="38" spans="1:28" x14ac:dyDescent="0.3">
      <c r="A38" s="138"/>
      <c r="C38" s="140"/>
      <c r="AA38" s="116" t="s">
        <v>44</v>
      </c>
      <c r="AB38" s="139">
        <v>2023</v>
      </c>
    </row>
    <row r="39" spans="1:28" x14ac:dyDescent="0.3">
      <c r="A39" s="138"/>
      <c r="C39" s="140"/>
      <c r="AA39" s="116" t="s">
        <v>45</v>
      </c>
      <c r="AB39" s="139">
        <v>2023</v>
      </c>
    </row>
    <row r="40" spans="1:28" x14ac:dyDescent="0.3">
      <c r="A40" s="138"/>
      <c r="C40" s="140"/>
    </row>
  </sheetData>
  <hyperlinks>
    <hyperlink ref="B1" r:id="rId1" xr:uid="{8485C66C-0A5A-4A15-80E9-738BF3F6E86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5655E-D1A5-4A9A-83EC-D3457AB8DE75}">
  <dimension ref="B1:F18"/>
  <sheetViews>
    <sheetView workbookViewId="0">
      <selection activeCell="E13" sqref="E13"/>
    </sheetView>
  </sheetViews>
  <sheetFormatPr defaultRowHeight="14.4" x14ac:dyDescent="0.3"/>
  <cols>
    <col min="2" max="2" width="19.44140625" customWidth="1"/>
    <col min="3" max="3" width="80.44140625" style="2" customWidth="1"/>
    <col min="4" max="4" width="45.21875" style="2" customWidth="1"/>
    <col min="5" max="5" width="8.88671875" style="2"/>
    <col min="6" max="6" width="20.77734375" style="2" customWidth="1"/>
  </cols>
  <sheetData>
    <row r="1" spans="2:6" x14ac:dyDescent="0.3">
      <c r="B1" s="210" t="s">
        <v>48</v>
      </c>
      <c r="C1" s="210" t="s">
        <v>49</v>
      </c>
    </row>
    <row r="4" spans="2:6" ht="82.2" customHeight="1" x14ac:dyDescent="0.3">
      <c r="B4" t="s">
        <v>53</v>
      </c>
      <c r="C4" s="2" t="s">
        <v>52</v>
      </c>
    </row>
    <row r="5" spans="2:6" x14ac:dyDescent="0.3">
      <c r="B5" s="5"/>
      <c r="C5" s="2" t="s">
        <v>54</v>
      </c>
    </row>
    <row r="6" spans="2:6" x14ac:dyDescent="0.3">
      <c r="B6" s="9"/>
      <c r="C6" s="2" t="s">
        <v>55</v>
      </c>
    </row>
    <row r="7" spans="2:6" x14ac:dyDescent="0.3">
      <c r="D7" s="2" t="s">
        <v>50</v>
      </c>
      <c r="E7" s="2" t="s">
        <v>51</v>
      </c>
      <c r="F7" s="2" t="s">
        <v>51</v>
      </c>
    </row>
    <row r="8" spans="2:6" x14ac:dyDescent="0.3">
      <c r="B8" s="3">
        <v>2020</v>
      </c>
      <c r="C8" s="3" t="s">
        <v>35</v>
      </c>
      <c r="D8" s="4">
        <v>145.1</v>
      </c>
      <c r="F8"/>
    </row>
    <row r="9" spans="2:6" x14ac:dyDescent="0.3">
      <c r="B9" s="4">
        <v>2020</v>
      </c>
      <c r="C9" s="4" t="s">
        <v>36</v>
      </c>
      <c r="D9" s="3">
        <v>148.69999999999999</v>
      </c>
      <c r="F9"/>
    </row>
    <row r="10" spans="2:6" x14ac:dyDescent="0.3">
      <c r="B10" s="3">
        <v>2020</v>
      </c>
      <c r="C10" s="3" t="s">
        <v>37</v>
      </c>
      <c r="E10" s="7">
        <f>AVERAGE(D8:D9,D12)</f>
        <v>147.79999999999998</v>
      </c>
    </row>
    <row r="11" spans="2:6" x14ac:dyDescent="0.3">
      <c r="B11" s="4">
        <v>2020</v>
      </c>
      <c r="C11" s="4" t="s">
        <v>38</v>
      </c>
      <c r="E11" s="7">
        <f>AVERAGE(D9:D12,D13)</f>
        <v>149.14999999999998</v>
      </c>
    </row>
    <row r="12" spans="2:6" x14ac:dyDescent="0.3">
      <c r="B12" s="3">
        <v>2020</v>
      </c>
      <c r="C12" s="3" t="s">
        <v>39</v>
      </c>
      <c r="D12" s="3">
        <v>149.6</v>
      </c>
      <c r="F12"/>
    </row>
    <row r="13" spans="2:6" x14ac:dyDescent="0.3">
      <c r="B13" s="3"/>
      <c r="C13" s="3"/>
      <c r="D13" s="4"/>
      <c r="F13"/>
    </row>
    <row r="14" spans="2:6" x14ac:dyDescent="0.3">
      <c r="B14" s="3"/>
      <c r="C14" s="3"/>
      <c r="D14" s="3"/>
      <c r="F14"/>
    </row>
    <row r="15" spans="2:6" x14ac:dyDescent="0.3">
      <c r="B15" s="4"/>
      <c r="C15" s="4"/>
      <c r="D15" s="4"/>
      <c r="F15"/>
    </row>
    <row r="16" spans="2:6" x14ac:dyDescent="0.3">
      <c r="B16" s="3"/>
      <c r="C16" s="3"/>
      <c r="D16" s="3"/>
      <c r="F16"/>
    </row>
    <row r="17" spans="2:6" x14ac:dyDescent="0.3">
      <c r="B17" s="4"/>
      <c r="C17" s="4"/>
      <c r="D17" s="4"/>
      <c r="F17"/>
    </row>
    <row r="18" spans="2:6" x14ac:dyDescent="0.3">
      <c r="B18" s="3"/>
      <c r="C18" s="3"/>
      <c r="D18" s="3"/>
      <c r="F18"/>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4E8A32-8F9B-4CA8-8603-311B5EA83B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All_India_Index_Upto_April23 (1</vt:lpstr>
      <vt:lpstr>Working_Data</vt:lpstr>
      <vt:lpstr>Problem_Statement</vt:lpstr>
      <vt:lpstr>1.CPI Contribution Analysis</vt:lpstr>
      <vt:lpstr>2.CPI YOY Analysis</vt:lpstr>
      <vt:lpstr>3.Food Inflation Analysis</vt:lpstr>
      <vt:lpstr>4.COVID Inflation Analysis</vt:lpstr>
      <vt:lpstr>5.Oil Price Data</vt:lpstr>
      <vt:lpstr>Crude Oil Price</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Jaiswal</dc:creator>
  <cp:lastModifiedBy>Krrish Singh</cp:lastModifiedBy>
  <cp:lastPrinted>2026-10-01T21:48:03Z</cp:lastPrinted>
  <dcterms:created xsi:type="dcterms:W3CDTF">2026-09-29T09:33:19Z</dcterms:created>
  <dcterms:modified xsi:type="dcterms:W3CDTF">2026-10-01T23:11:35Z</dcterms:modified>
</cp:coreProperties>
</file>